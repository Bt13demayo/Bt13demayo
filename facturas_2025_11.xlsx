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ION\Desktop\BARRIO TRANSITORIO 13 DE MAYO\pagos y lecturas\2025\NOVIEMBRE\"/>
    </mc:Choice>
  </mc:AlternateContent>
  <xr:revisionPtr revIDLastSave="0" documentId="8_{7E034165-A95F-4728-B1B4-6CD42D22E7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IEMBRE" sheetId="1" r:id="rId1"/>
  </sheets>
  <definedNames>
    <definedName name="_xlnm._FilterDatabase" localSheetId="0" hidden="1">NOVIEMBRE!$A$1:$C$43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5" i="1" l="1"/>
  <c r="G43" i="1" l="1"/>
  <c r="G44" i="1" l="1"/>
  <c r="J43" i="1" l="1"/>
  <c r="J44" i="1"/>
  <c r="E3" i="1"/>
  <c r="G3" i="1" s="1"/>
  <c r="J3" i="1" s="1"/>
  <c r="E4" i="1"/>
  <c r="G4" i="1" s="1"/>
  <c r="J4" i="1" s="1"/>
  <c r="E5" i="1"/>
  <c r="G5" i="1" s="1"/>
  <c r="J5" i="1" s="1"/>
  <c r="E6" i="1"/>
  <c r="G6" i="1" s="1"/>
  <c r="J6" i="1" s="1"/>
  <c r="E7" i="1"/>
  <c r="G7" i="1" s="1"/>
  <c r="J7" i="1" s="1"/>
  <c r="E8" i="1"/>
  <c r="G8" i="1" s="1"/>
  <c r="J8" i="1" s="1"/>
  <c r="E9" i="1"/>
  <c r="G9" i="1" s="1"/>
  <c r="J9" i="1" s="1"/>
  <c r="E10" i="1"/>
  <c r="G10" i="1" s="1"/>
  <c r="J10" i="1" s="1"/>
  <c r="E11" i="1"/>
  <c r="G11" i="1" s="1"/>
  <c r="J11" i="1" s="1"/>
  <c r="E12" i="1"/>
  <c r="G12" i="1" s="1"/>
  <c r="J12" i="1" s="1"/>
  <c r="E13" i="1"/>
  <c r="G13" i="1" s="1"/>
  <c r="J13" i="1" s="1"/>
  <c r="E14" i="1"/>
  <c r="G14" i="1" s="1"/>
  <c r="J14" i="1" s="1"/>
  <c r="E15" i="1"/>
  <c r="G15" i="1" s="1"/>
  <c r="J15" i="1" s="1"/>
  <c r="E16" i="1"/>
  <c r="G16" i="1" s="1"/>
  <c r="J16" i="1" s="1"/>
  <c r="E17" i="1"/>
  <c r="G17" i="1" s="1"/>
  <c r="J17" i="1" s="1"/>
  <c r="E18" i="1"/>
  <c r="G18" i="1" s="1"/>
  <c r="J18" i="1" s="1"/>
  <c r="E19" i="1"/>
  <c r="G19" i="1" s="1"/>
  <c r="J19" i="1" s="1"/>
  <c r="E20" i="1"/>
  <c r="G20" i="1" s="1"/>
  <c r="J20" i="1" s="1"/>
  <c r="E21" i="1"/>
  <c r="G21" i="1" s="1"/>
  <c r="J21" i="1" s="1"/>
  <c r="E22" i="1"/>
  <c r="G22" i="1" s="1"/>
  <c r="J22" i="1" s="1"/>
  <c r="E23" i="1"/>
  <c r="G23" i="1" s="1"/>
  <c r="J23" i="1" s="1"/>
  <c r="E24" i="1"/>
  <c r="G24" i="1" s="1"/>
  <c r="J24" i="1" s="1"/>
  <c r="E25" i="1"/>
  <c r="G25" i="1" s="1"/>
  <c r="J25" i="1" s="1"/>
  <c r="E26" i="1"/>
  <c r="G26" i="1" s="1"/>
  <c r="J26" i="1" s="1"/>
  <c r="E27" i="1"/>
  <c r="G27" i="1" s="1"/>
  <c r="J27" i="1" s="1"/>
  <c r="E28" i="1"/>
  <c r="G28" i="1" s="1"/>
  <c r="J28" i="1" s="1"/>
  <c r="E29" i="1"/>
  <c r="G29" i="1" s="1"/>
  <c r="J29" i="1" s="1"/>
  <c r="E30" i="1"/>
  <c r="G30" i="1" s="1"/>
  <c r="J30" i="1" s="1"/>
  <c r="E31" i="1"/>
  <c r="G31" i="1" s="1"/>
  <c r="J31" i="1" s="1"/>
  <c r="E32" i="1"/>
  <c r="G32" i="1" s="1"/>
  <c r="J32" i="1" s="1"/>
  <c r="E33" i="1"/>
  <c r="G33" i="1" s="1"/>
  <c r="J33" i="1" s="1"/>
  <c r="E34" i="1"/>
  <c r="G34" i="1" s="1"/>
  <c r="J34" i="1" s="1"/>
  <c r="E35" i="1"/>
  <c r="G35" i="1" s="1"/>
  <c r="J35" i="1" s="1"/>
  <c r="E36" i="1"/>
  <c r="G36" i="1" s="1"/>
  <c r="J36" i="1" s="1"/>
  <c r="E37" i="1"/>
  <c r="G37" i="1" s="1"/>
  <c r="J37" i="1" s="1"/>
  <c r="E38" i="1"/>
  <c r="G38" i="1" s="1"/>
  <c r="J38" i="1" s="1"/>
  <c r="E39" i="1"/>
  <c r="G39" i="1" s="1"/>
  <c r="J39" i="1" s="1"/>
  <c r="E40" i="1"/>
  <c r="G40" i="1" s="1"/>
  <c r="J40" i="1" s="1"/>
  <c r="E41" i="1"/>
  <c r="G41" i="1" s="1"/>
  <c r="J41" i="1" s="1"/>
  <c r="E42" i="1"/>
  <c r="G42" i="1" s="1"/>
  <c r="J42" i="1" s="1"/>
  <c r="E43" i="1"/>
  <c r="E44" i="1"/>
  <c r="E2" i="1"/>
  <c r="G2" i="1" l="1"/>
  <c r="J2" i="1" l="1"/>
  <c r="J45" i="1" s="1"/>
</calcChain>
</file>

<file path=xl/sharedStrings.xml><?xml version="1.0" encoding="utf-8"?>
<sst xmlns="http://schemas.openxmlformats.org/spreadsheetml/2006/main" count="56" uniqueCount="56">
  <si>
    <t>CASA</t>
  </si>
  <si>
    <t>SANDRA JANNINA ARMIJOS BONILLA</t>
  </si>
  <si>
    <t>KAREN ROCIO BALERIANO ORTIZ</t>
  </si>
  <si>
    <t>LINA YOANA ARIAS GUAPIZ</t>
  </si>
  <si>
    <t>FELIX ASPRILLA IBARQUEN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</si>
  <si>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</si>
  <si>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</si>
  <si>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</si>
  <si>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</si>
  <si>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</si>
  <si>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</si>
  <si>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</si>
  <si>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</si>
  <si>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YOLEIDA DEL CARMEN SANDOVAL BALZAN</t>
  </si>
  <si>
    <t>ENRIQUE FAVIAN ZAMORA LINARES</t>
  </si>
  <si>
    <t>BETY CAMAYO MARTINEZ</t>
  </si>
  <si>
    <t xml:space="preserve">RAFAELA ROMERO OBREGON </t>
  </si>
  <si>
    <t>DAYANA MONTENEGRO ALDANA</t>
  </si>
  <si>
    <t>FRANKY MAURICIO CANDELO QUINTERO</t>
  </si>
  <si>
    <t>JOSÉ BERNARDO PULIDO CASTRILLÓN</t>
  </si>
  <si>
    <t>NILSON CUAMA VICTORIA</t>
  </si>
  <si>
    <t>RICARDO ANDRES BELTRAN DUQUE</t>
  </si>
  <si>
    <t>EDWIN FELIPE CORREA</t>
  </si>
  <si>
    <t>OFICINA</t>
  </si>
  <si>
    <t>WALTER ARTURO DÍAZ ROJAS</t>
  </si>
  <si>
    <t>LEIDY TATIANA DUARTE DÍAZ</t>
  </si>
  <si>
    <t>JOEL LUCIO CARTAGENA TIRINA</t>
  </si>
  <si>
    <t>MARTA TABORDA GONZALEZ</t>
  </si>
  <si>
    <t>YHAMILED GONZALEZ PARRA</t>
  </si>
  <si>
    <t>BERNARDINA ESPINOZA VELAZQUEZ</t>
  </si>
  <si>
    <t>GARITA</t>
  </si>
  <si>
    <t>SALA DE BASURA</t>
  </si>
  <si>
    <t>LECTURA ACTUAL</t>
  </si>
  <si>
    <t>NOMBRE DEL TITULAR DE LA VIVIENDA</t>
  </si>
  <si>
    <t xml:space="preserve">MOHAMMED SABRA </t>
  </si>
  <si>
    <t>Jhovanna Mamani Vecerra</t>
  </si>
  <si>
    <t>Daniel Pino Nova</t>
  </si>
  <si>
    <t>Ana Achu</t>
  </si>
  <si>
    <t>Remunda Sanchez Martinez</t>
  </si>
  <si>
    <t>Nahir Humazo</t>
  </si>
  <si>
    <t xml:space="preserve">Emiliana Torejon Condori </t>
  </si>
  <si>
    <t xml:space="preserve">SIN ASIGNAR </t>
  </si>
  <si>
    <t>ROSA DE LA CRUZ</t>
  </si>
  <si>
    <t>HILDA RAMIREZ</t>
  </si>
  <si>
    <t xml:space="preserve">LECTURA ANTERIOR </t>
  </si>
  <si>
    <t>REMARCARDOR PRINCIPAL</t>
  </si>
  <si>
    <t>PAULA SERNA CASSOS</t>
  </si>
  <si>
    <t>CONSUMO DE AGUA M3</t>
  </si>
  <si>
    <t>VALOR DE M3</t>
  </si>
  <si>
    <t>SUBTOTAL</t>
  </si>
  <si>
    <t>CONSUMO GENERAL</t>
  </si>
  <si>
    <t>GASTO COMUN</t>
  </si>
  <si>
    <t>Totar a Pagar</t>
  </si>
  <si>
    <t>LEIDY APONTE ROMÁN</t>
  </si>
  <si>
    <t>245 PENDIENTES</t>
  </si>
  <si>
    <t>360 A FAVOR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</si>
</sst>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Font="1" applyFill="1" applyBorder="1" applyAlignment="1">
      <alignment horizontal="center"/>
    </xf>
    <xf numFmtId="164" fontId="2" fillId="0" borderId="0" xfId="0" applyNumberFormat="1" applyFont="1"/>
    <xf numFmtId="164" fontId="2" fillId="0" borderId="0" xfId="1" applyFont="1" applyFill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1" applyNumberFormat="1" applyFont="1" applyFill="1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2" xfId="0" applyFont="1" applyBorder="1" applyAlignment="1">
      <alignment horizontal="right"/>
    </xf>
    <xf numFmtId="164" fontId="2" fillId="0" borderId="3" xfId="1" applyFont="1" applyFill="1" applyBorder="1"/>
    <xf numFmtId="0" fontId="2" fillId="0" borderId="4" xfId="0" applyFont="1" applyBorder="1" applyAlignment="1">
      <alignment horizontal="right"/>
    </xf>
    <xf numFmtId="164" fontId="2" fillId="0" borderId="5" xfId="1" applyFont="1" applyFill="1" applyBorder="1"/>
    <xf numFmtId="0" fontId="2" fillId="0" borderId="6" xfId="0" applyFont="1" applyBorder="1" applyAlignment="1">
      <alignment horizontal="right"/>
    </xf>
    <xf numFmtId="164" fontId="5" fillId="0" borderId="0" xfId="1" applyFont="1" applyFill="1" applyAlignment="1">
      <alignment vertical="center"/>
    </xf>
    <xf numFmtId="164" fontId="5" fillId="0" borderId="7" xfId="0" applyNumberFormat="1" applyFont="1" applyBorder="1"/>
    <xf numFmtId="0" fontId="2" fillId="0" borderId="0" xfId="0" applyFont="1" applyAlignment="1">
      <alignment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1AC2A27-2549-46DC-9171-F6096F92ACE4}">
  <we:reference id="wa200005271" version="2.5.5.0" store="es-E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CC927DD-13EE-4A2D-B28B-56E3BF4F3C02}">
  <we:reference id="wa200006009" version="2.1.0.10" store="es-ES" storeType="OMEX"/>
  <we:alternateReferences>
    <we:reference id="WA200006009" version="2.1.0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showGridLines="0" tabSelected="1" showRuler="0" zoomScale="90" zoomScaleNormal="90" zoomScaleSheetLayoutView="80" zoomScalePageLayoutView="136" workbookViewId="0">
      <pane ySplit="1" topLeftCell="A2" activePane="bottomLeft" state="frozen"/>
      <selection pane="bottomLeft" activeCell="H47" sqref="H47"/>
    </sheetView>
  </sheetViews>
  <sheetFormatPr baseColWidth="10" defaultColWidth="14.44140625" defaultRowHeight="51" customHeight="1" x14ac:dyDescent="0.3"/>
  <cols>
    <col min="1" max="1" width="7.77734375" style="1" customWidth="1"/>
    <col min="2" max="2" width="37.5546875" style="1" bestFit="1" customWidth="1"/>
    <col min="3" max="3" width="18.44140625" style="2" customWidth="1"/>
    <col min="4" max="4" width="17.33203125" style="1" bestFit="1" customWidth="1"/>
    <col min="5" max="5" width="17.33203125" style="1" customWidth="1"/>
    <col min="6" max="6" width="14.5546875" style="1" customWidth="1"/>
    <col min="7" max="7" width="12.33203125" style="1" bestFit="1" customWidth="1"/>
    <col min="8" max="9" width="14.44140625" style="1"/>
    <col min="10" max="10" width="18.21875" style="1" bestFit="1" customWidth="1"/>
    <col min="11" max="16384" width="14.44140625" style="1"/>
  </cols>
  <sheetData>
    <row r="1" spans="1:11" ht="51" customHeight="1" x14ac:dyDescent="0.3">
      <c r="A1" s="14" t="s">
        <v>0</v>
      </c>
      <c r="B1" s="14" t="s">
        <v>33</v>
      </c>
      <c r="C1" s="14" t="s">
        <v>44</v>
      </c>
      <c r="D1" s="15" t="s">
        <v>32</v>
      </c>
      <c r="E1" s="14" t="s">
        <v>47</v>
      </c>
      <c r="F1" s="16" t="s">
        <v>48</v>
      </c>
      <c r="G1" s="16" t="s">
        <v>49</v>
      </c>
      <c r="H1" s="14" t="s">
        <v>50</v>
      </c>
      <c r="I1" s="14" t="s">
        <v>51</v>
      </c>
      <c r="J1" s="14" t="s">
        <v>52</v>
      </c>
    </row>
    <row r="2" spans="1:11" ht="51" customHeight="1" x14ac:dyDescent="0.3">
      <c r="A2" s="15">
        <v>1</v>
      </c>
      <c r="B2" s="17" t="s">
        <v>1</v>
      </c>
      <c r="C2" s="18">
        <v>10.65</v>
      </c>
      <c r="D2" s="18">
        <v>26.608000000000001</v>
      </c>
      <c r="E2" s="18">
        <f>D2-C2</f>
        <v>15.958</v>
      </c>
      <c r="F2" s="18">
        <v>2197.94</v>
      </c>
      <c r="G2" s="19">
        <f>E2*F2</f>
        <v>35074.726520000004</v>
      </c>
      <c r="H2" s="19"/>
      <c r="I2" s="19">
        <v>7000</v>
      </c>
      <c r="J2" s="19">
        <f>G2+H2+I2</f>
        <v>42074.726520000004</v>
      </c>
    </row>
    <row r="3" spans="1:11" ht="51" customHeight="1" x14ac:dyDescent="0.3">
      <c r="A3" s="15">
        <v>2</v>
      </c>
      <c r="B3" s="17" t="s">
        <v>2</v>
      </c>
      <c r="C3" s="18">
        <v>3.6669999999999998</v>
      </c>
      <c r="D3" s="18">
        <v>11.157</v>
      </c>
      <c r="E3" s="18">
        <f t="shared" ref="E3:E45" si="0">D3-C3</f>
        <v>7.49</v>
      </c>
      <c r="F3" s="18">
        <v>2197.94</v>
      </c>
      <c r="G3" s="19">
        <f>E3*F3</f>
        <v>16462.570599999999</v>
      </c>
      <c r="H3" s="19"/>
      <c r="I3" s="19">
        <v>7000</v>
      </c>
      <c r="J3" s="19">
        <f t="shared" ref="J3:J44" si="1">G3+H3+I3</f>
        <v>23462.570599999999</v>
      </c>
    </row>
    <row r="4" spans="1:11" ht="51" customHeight="1" x14ac:dyDescent="0.3">
      <c r="A4" s="15">
        <v>3</v>
      </c>
      <c r="B4" s="17" t="s">
        <v>3</v>
      </c>
      <c r="C4" s="18">
        <v>2.5459999999999998</v>
      </c>
      <c r="D4" s="18">
        <v>7.9829999999999997</v>
      </c>
      <c r="E4" s="18">
        <f t="shared" si="0"/>
        <v>5.4369999999999994</v>
      </c>
      <c r="F4" s="18">
        <v>2197.94</v>
      </c>
      <c r="G4" s="19">
        <f t="shared" ref="G4:G44" si="2">E4*F4</f>
        <v>11950.199779999999</v>
      </c>
      <c r="H4" s="19"/>
      <c r="I4" s="19">
        <v>7000</v>
      </c>
      <c r="J4" s="19">
        <f t="shared" si="1"/>
        <v>18950.199779999999</v>
      </c>
    </row>
    <row r="5" spans="1:11" ht="51" customHeight="1" x14ac:dyDescent="0.3">
      <c r="A5" s="15">
        <v>7</v>
      </c>
      <c r="B5" s="17" t="s">
        <v>4</v>
      </c>
      <c r="C5" s="18">
        <v>2.3210000000000002</v>
      </c>
      <c r="D5" s="18">
        <v>11.621</v>
      </c>
      <c r="E5" s="18">
        <f t="shared" si="0"/>
        <v>9.3000000000000007</v>
      </c>
      <c r="F5" s="18">
        <v>2197.94</v>
      </c>
      <c r="G5" s="19">
        <f t="shared" si="2"/>
        <v>20440.842000000001</v>
      </c>
      <c r="H5" s="19"/>
      <c r="I5" s="19">
        <v>7000</v>
      </c>
      <c r="J5" s="19">
        <f t="shared" si="1"/>
        <v>27440.842000000001</v>
      </c>
    </row>
    <row r="6" spans="1:11" ht="51" customHeight="1" x14ac:dyDescent="0.3">
      <c r="A6" s="15">
        <v>10</v>
      </c>
      <c r="B6" s="17" t="s">
        <v>5</v>
      </c>
      <c r="C6" s="18">
        <v>12.568</v>
      </c>
      <c r="D6" s="18">
        <v>35.305</v>
      </c>
      <c r="E6" s="18">
        <f t="shared" si="0"/>
        <v>22.737000000000002</v>
      </c>
      <c r="F6" s="18">
        <v>2197.94</v>
      </c>
      <c r="G6" s="19">
        <f t="shared" si="2"/>
        <v>49974.561780000004</v>
      </c>
      <c r="H6" s="19"/>
      <c r="I6" s="19">
        <v>7000</v>
      </c>
      <c r="J6" s="19">
        <f t="shared" si="1"/>
        <v>56974.561780000004</v>
      </c>
    </row>
    <row r="7" spans="1:11" ht="51" customHeight="1" x14ac:dyDescent="0.3">
      <c r="A7" s="15">
        <v>11</v>
      </c>
      <c r="B7" s="17" t="s">
        <v>6</v>
      </c>
      <c r="C7" s="18">
        <v>14.978999999999999</v>
      </c>
      <c r="D7" s="18">
        <v>38.472000000000001</v>
      </c>
      <c r="E7" s="18">
        <f t="shared" si="0"/>
        <v>23.493000000000002</v>
      </c>
      <c r="F7" s="18">
        <v>2197.94</v>
      </c>
      <c r="G7" s="19">
        <f t="shared" si="2"/>
        <v>51636.204420000009</v>
      </c>
      <c r="H7" s="19"/>
      <c r="I7" s="19">
        <v>7000</v>
      </c>
      <c r="J7" s="19">
        <f t="shared" si="1"/>
        <v>58636.204420000009</v>
      </c>
    </row>
    <row r="8" spans="1:11" ht="51" customHeight="1" x14ac:dyDescent="0.3">
      <c r="A8" s="15">
        <v>12</v>
      </c>
      <c r="B8" s="17" t="s">
        <v>7</v>
      </c>
      <c r="C8" s="18">
        <v>0.13</v>
      </c>
      <c r="D8" s="18">
        <v>1.893</v>
      </c>
      <c r="E8" s="18">
        <f t="shared" si="0"/>
        <v>1.7629999999999999</v>
      </c>
      <c r="F8" s="18">
        <v>2197.94</v>
      </c>
      <c r="G8" s="19">
        <f t="shared" si="2"/>
        <v>3874.9682199999997</v>
      </c>
      <c r="H8" s="19"/>
      <c r="I8" s="19">
        <v>7000</v>
      </c>
      <c r="J8" s="19">
        <f t="shared" si="1"/>
        <v>10874.968219999999</v>
      </c>
    </row>
    <row r="9" spans="1:11" ht="51" customHeight="1" x14ac:dyDescent="0.3">
      <c r="A9" s="15">
        <v>13</v>
      </c>
      <c r="B9" s="17" t="s">
        <v>8</v>
      </c>
      <c r="C9" s="18">
        <v>5.2469999999999999</v>
      </c>
      <c r="D9" s="18">
        <v>14.743</v>
      </c>
      <c r="E9" s="18">
        <f t="shared" si="0"/>
        <v>9.4960000000000004</v>
      </c>
      <c r="F9" s="18">
        <v>2197.94</v>
      </c>
      <c r="G9" s="19">
        <f t="shared" si="2"/>
        <v>20871.63824</v>
      </c>
      <c r="H9" s="19"/>
      <c r="I9" s="19">
        <v>7000</v>
      </c>
      <c r="J9" s="19">
        <f>G9+H9+I9-360</f>
        <v>27511.63824</v>
      </c>
      <c r="K9" s="13" t="s">
        <v>55</v>
      </c>
    </row>
    <row r="10" spans="1:11" ht="51" customHeight="1" x14ac:dyDescent="0.3">
      <c r="A10" s="15">
        <v>14</v>
      </c>
      <c r="B10" s="17" t="s">
        <v>9</v>
      </c>
      <c r="C10" s="18">
        <v>6.9980000000000002</v>
      </c>
      <c r="D10" s="18">
        <v>18.510000000000002</v>
      </c>
      <c r="E10" s="18">
        <f t="shared" si="0"/>
        <v>11.512</v>
      </c>
      <c r="F10" s="18">
        <v>2197.94</v>
      </c>
      <c r="G10" s="19">
        <f t="shared" si="2"/>
        <v>25302.685280000002</v>
      </c>
      <c r="H10" s="19"/>
      <c r="I10" s="19">
        <v>7000</v>
      </c>
      <c r="J10" s="19">
        <f>G10+H10+I10+245</f>
        <v>32547.685280000002</v>
      </c>
      <c r="K10" s="13" t="s">
        <v>54</v>
      </c>
    </row>
    <row r="11" spans="1:11" ht="51" customHeight="1" x14ac:dyDescent="0.3">
      <c r="A11" s="15">
        <v>15</v>
      </c>
      <c r="B11" s="17" t="s">
        <v>10</v>
      </c>
      <c r="C11" s="18">
        <v>3.6970000000000001</v>
      </c>
      <c r="D11" s="18">
        <v>11.161</v>
      </c>
      <c r="E11" s="18">
        <f t="shared" si="0"/>
        <v>7.4639999999999995</v>
      </c>
      <c r="F11" s="18">
        <v>2197.94</v>
      </c>
      <c r="G11" s="19">
        <f t="shared" si="2"/>
        <v>16405.424159999999</v>
      </c>
      <c r="H11" s="19"/>
      <c r="I11" s="19">
        <v>7000</v>
      </c>
      <c r="J11" s="19">
        <f t="shared" si="1"/>
        <v>23405.424159999999</v>
      </c>
    </row>
    <row r="12" spans="1:11" ht="51" customHeight="1" x14ac:dyDescent="0.3">
      <c r="A12" s="15">
        <v>16</v>
      </c>
      <c r="B12" s="17" t="s">
        <v>11</v>
      </c>
      <c r="C12" s="18">
        <v>9.4979999999999993</v>
      </c>
      <c r="D12" s="18">
        <v>35.134</v>
      </c>
      <c r="E12" s="18">
        <f t="shared" si="0"/>
        <v>25.636000000000003</v>
      </c>
      <c r="F12" s="18">
        <v>2197.94</v>
      </c>
      <c r="G12" s="19">
        <f t="shared" si="2"/>
        <v>56346.389840000011</v>
      </c>
      <c r="H12" s="19"/>
      <c r="I12" s="19">
        <v>7000</v>
      </c>
      <c r="J12" s="19">
        <f t="shared" si="1"/>
        <v>63346.389840000011</v>
      </c>
    </row>
    <row r="13" spans="1:11" ht="51" customHeight="1" x14ac:dyDescent="0.3">
      <c r="A13" s="15">
        <v>17</v>
      </c>
      <c r="B13" s="17" t="s">
        <v>12</v>
      </c>
      <c r="C13" s="18">
        <v>1.617</v>
      </c>
      <c r="D13" s="18">
        <v>4.1609999999999996</v>
      </c>
      <c r="E13" s="18">
        <f t="shared" si="0"/>
        <v>2.5439999999999996</v>
      </c>
      <c r="F13" s="18">
        <v>2197.94</v>
      </c>
      <c r="G13" s="19">
        <f t="shared" si="2"/>
        <v>5591.5593599999993</v>
      </c>
      <c r="H13" s="19"/>
      <c r="I13" s="19">
        <v>7000</v>
      </c>
      <c r="J13" s="19">
        <f t="shared" si="1"/>
        <v>12591.559359999999</v>
      </c>
    </row>
    <row r="14" spans="1:11" ht="51" customHeight="1" x14ac:dyDescent="0.3">
      <c r="A14" s="15">
        <v>18</v>
      </c>
      <c r="B14" s="17" t="s">
        <v>13</v>
      </c>
      <c r="C14" s="18">
        <v>3.9980000000000002</v>
      </c>
      <c r="D14" s="18">
        <v>11.925000000000001</v>
      </c>
      <c r="E14" s="18">
        <f t="shared" si="0"/>
        <v>7.9270000000000005</v>
      </c>
      <c r="F14" s="18">
        <v>2197.94</v>
      </c>
      <c r="G14" s="19">
        <f t="shared" si="2"/>
        <v>17423.070380000001</v>
      </c>
      <c r="H14" s="19"/>
      <c r="I14" s="19">
        <v>7000</v>
      </c>
      <c r="J14" s="19">
        <f t="shared" si="1"/>
        <v>24423.070380000001</v>
      </c>
    </row>
    <row r="15" spans="1:11" ht="51" customHeight="1" x14ac:dyDescent="0.3">
      <c r="A15" s="15">
        <v>19</v>
      </c>
      <c r="B15" s="17" t="s">
        <v>14</v>
      </c>
      <c r="C15" s="18">
        <v>1.74</v>
      </c>
      <c r="D15" s="18">
        <v>3.3319999999999999</v>
      </c>
      <c r="E15" s="18">
        <f t="shared" si="0"/>
        <v>1.5919999999999999</v>
      </c>
      <c r="F15" s="18">
        <v>2197.94</v>
      </c>
      <c r="G15" s="19">
        <f t="shared" si="2"/>
        <v>3499.1204799999996</v>
      </c>
      <c r="H15" s="19"/>
      <c r="I15" s="19">
        <v>7000</v>
      </c>
      <c r="J15" s="19">
        <f t="shared" si="1"/>
        <v>10499.12048</v>
      </c>
    </row>
    <row r="16" spans="1:11" ht="51" customHeight="1" x14ac:dyDescent="0.3">
      <c r="A16" s="15">
        <v>20</v>
      </c>
      <c r="B16" s="17" t="s">
        <v>15</v>
      </c>
      <c r="C16" s="18">
        <v>5.9089999999999998</v>
      </c>
      <c r="D16" s="18">
        <v>11.084</v>
      </c>
      <c r="E16" s="18">
        <f t="shared" si="0"/>
        <v>5.1749999999999998</v>
      </c>
      <c r="F16" s="18">
        <v>2197.94</v>
      </c>
      <c r="G16" s="19">
        <f t="shared" si="2"/>
        <v>11374.3395</v>
      </c>
      <c r="H16" s="19"/>
      <c r="I16" s="19">
        <v>7000</v>
      </c>
      <c r="J16" s="19">
        <f t="shared" si="1"/>
        <v>18374.339500000002</v>
      </c>
    </row>
    <row r="17" spans="1:10" ht="51" customHeight="1" x14ac:dyDescent="0.3">
      <c r="A17" s="15">
        <v>21</v>
      </c>
      <c r="B17" s="17" t="s">
        <v>16</v>
      </c>
      <c r="C17" s="18">
        <v>2.7749999999999999</v>
      </c>
      <c r="D17" s="18">
        <v>6.7309999999999999</v>
      </c>
      <c r="E17" s="18">
        <f t="shared" si="0"/>
        <v>3.956</v>
      </c>
      <c r="F17" s="18">
        <v>2197.94</v>
      </c>
      <c r="G17" s="19">
        <f t="shared" si="2"/>
        <v>8695.0506399999995</v>
      </c>
      <c r="H17" s="19"/>
      <c r="I17" s="19">
        <v>7000</v>
      </c>
      <c r="J17" s="19">
        <f t="shared" si="1"/>
        <v>15695.050639999999</v>
      </c>
    </row>
    <row r="18" spans="1:10" ht="51" customHeight="1" x14ac:dyDescent="0.3">
      <c r="A18" s="15">
        <v>22</v>
      </c>
      <c r="B18" s="17" t="s">
        <v>17</v>
      </c>
      <c r="C18" s="18">
        <v>1.3320000000000001</v>
      </c>
      <c r="D18" s="18">
        <v>3.4660000000000002</v>
      </c>
      <c r="E18" s="18">
        <f t="shared" si="0"/>
        <v>2.1340000000000003</v>
      </c>
      <c r="F18" s="18">
        <v>2197.94</v>
      </c>
      <c r="G18" s="19">
        <f t="shared" si="2"/>
        <v>4690.4039600000006</v>
      </c>
      <c r="H18" s="19"/>
      <c r="I18" s="19">
        <v>7000</v>
      </c>
      <c r="J18" s="19">
        <f t="shared" si="1"/>
        <v>11690.40396</v>
      </c>
    </row>
    <row r="19" spans="1:10" ht="51" customHeight="1" x14ac:dyDescent="0.3">
      <c r="A19" s="15">
        <v>23</v>
      </c>
      <c r="B19" s="17" t="s">
        <v>18</v>
      </c>
      <c r="C19" s="18">
        <v>0.64200000000000002</v>
      </c>
      <c r="D19" s="18">
        <v>1.27</v>
      </c>
      <c r="E19" s="18">
        <f t="shared" si="0"/>
        <v>0.628</v>
      </c>
      <c r="F19" s="18">
        <v>2197.94</v>
      </c>
      <c r="G19" s="19">
        <f t="shared" si="2"/>
        <v>1380.3063200000001</v>
      </c>
      <c r="H19" s="19"/>
      <c r="I19" s="19">
        <v>7000</v>
      </c>
      <c r="J19" s="19">
        <f t="shared" si="1"/>
        <v>8380.3063199999997</v>
      </c>
    </row>
    <row r="20" spans="1:10" ht="51" customHeight="1" x14ac:dyDescent="0.3">
      <c r="A20" s="15">
        <v>25</v>
      </c>
      <c r="B20" s="17" t="s">
        <v>19</v>
      </c>
      <c r="C20" s="18">
        <v>8.1300000000000008</v>
      </c>
      <c r="D20" s="18">
        <v>23.837</v>
      </c>
      <c r="E20" s="18">
        <f t="shared" si="0"/>
        <v>15.706999999999999</v>
      </c>
      <c r="F20" s="18">
        <v>2197.94</v>
      </c>
      <c r="G20" s="19">
        <f t="shared" si="2"/>
        <v>34523.043579999998</v>
      </c>
      <c r="H20" s="19"/>
      <c r="I20" s="19">
        <v>7000</v>
      </c>
      <c r="J20" s="19">
        <f t="shared" si="1"/>
        <v>41523.043579999998</v>
      </c>
    </row>
    <row r="21" spans="1:10" ht="51" customHeight="1" x14ac:dyDescent="0.3">
      <c r="A21" s="15">
        <v>26</v>
      </c>
      <c r="B21" s="17" t="s">
        <v>20</v>
      </c>
      <c r="C21" s="18">
        <v>14.577</v>
      </c>
      <c r="D21" s="18">
        <v>39.960999999999999</v>
      </c>
      <c r="E21" s="18">
        <f t="shared" si="0"/>
        <v>25.384</v>
      </c>
      <c r="F21" s="18">
        <v>2197.94</v>
      </c>
      <c r="G21" s="19">
        <f t="shared" si="2"/>
        <v>55792.508959999999</v>
      </c>
      <c r="H21" s="19"/>
      <c r="I21" s="19">
        <v>7000</v>
      </c>
      <c r="J21" s="19">
        <f t="shared" si="1"/>
        <v>62792.508959999999</v>
      </c>
    </row>
    <row r="22" spans="1:10" ht="51" customHeight="1" x14ac:dyDescent="0.3">
      <c r="A22" s="15">
        <v>27</v>
      </c>
      <c r="B22" s="17" t="s">
        <v>21</v>
      </c>
      <c r="C22" s="18">
        <v>2.8860000000000001</v>
      </c>
      <c r="D22" s="18">
        <v>7.8259999999999996</v>
      </c>
      <c r="E22" s="18">
        <f t="shared" si="0"/>
        <v>4.9399999999999995</v>
      </c>
      <c r="F22" s="18">
        <v>2197.94</v>
      </c>
      <c r="G22" s="19">
        <f t="shared" si="2"/>
        <v>10857.8236</v>
      </c>
      <c r="H22" s="19"/>
      <c r="I22" s="19">
        <v>7000</v>
      </c>
      <c r="J22" s="19">
        <f t="shared" si="1"/>
        <v>17857.8236</v>
      </c>
    </row>
    <row r="23" spans="1:10" s="2" customFormat="1" ht="51" customHeight="1" x14ac:dyDescent="0.3">
      <c r="A23" s="15">
        <v>28</v>
      </c>
      <c r="B23" s="17" t="s">
        <v>22</v>
      </c>
      <c r="C23" s="18">
        <v>1.0609999999999999</v>
      </c>
      <c r="D23" s="18">
        <v>2.6859999999999999</v>
      </c>
      <c r="E23" s="18">
        <f t="shared" si="0"/>
        <v>1.625</v>
      </c>
      <c r="F23" s="18">
        <v>2197.94</v>
      </c>
      <c r="G23" s="19">
        <f t="shared" si="2"/>
        <v>3571.6525000000001</v>
      </c>
      <c r="H23" s="19"/>
      <c r="I23" s="19">
        <v>7000</v>
      </c>
      <c r="J23" s="19">
        <f t="shared" si="1"/>
        <v>10571.6525</v>
      </c>
    </row>
    <row r="24" spans="1:10" s="2" customFormat="1" ht="51" customHeight="1" x14ac:dyDescent="0.3">
      <c r="A24" s="15">
        <v>73</v>
      </c>
      <c r="B24" s="17" t="s">
        <v>34</v>
      </c>
      <c r="C24" s="18">
        <v>2.7959999999999998</v>
      </c>
      <c r="D24" s="18">
        <v>8.2409999999999997</v>
      </c>
      <c r="E24" s="18">
        <f t="shared" si="0"/>
        <v>5.4450000000000003</v>
      </c>
      <c r="F24" s="18">
        <v>2197.94</v>
      </c>
      <c r="G24" s="19">
        <f t="shared" si="2"/>
        <v>11967.783300000001</v>
      </c>
      <c r="H24" s="19"/>
      <c r="I24" s="19">
        <v>7000</v>
      </c>
      <c r="J24" s="19">
        <f t="shared" si="1"/>
        <v>18967.783300000003</v>
      </c>
    </row>
    <row r="25" spans="1:10" s="2" customFormat="1" ht="51" customHeight="1" x14ac:dyDescent="0.3">
      <c r="A25" s="15">
        <v>74</v>
      </c>
      <c r="B25" s="18" t="s">
        <v>35</v>
      </c>
      <c r="C25" s="18">
        <v>2.8849999999999998</v>
      </c>
      <c r="D25" s="18">
        <v>8.3480000000000008</v>
      </c>
      <c r="E25" s="18">
        <f t="shared" si="0"/>
        <v>5.463000000000001</v>
      </c>
      <c r="F25" s="18">
        <v>2197.94</v>
      </c>
      <c r="G25" s="19">
        <f t="shared" si="2"/>
        <v>12007.346220000003</v>
      </c>
      <c r="H25" s="19"/>
      <c r="I25" s="19">
        <v>7000</v>
      </c>
      <c r="J25" s="19">
        <f t="shared" si="1"/>
        <v>19007.346220000003</v>
      </c>
    </row>
    <row r="26" spans="1:10" s="2" customFormat="1" ht="51" customHeight="1" x14ac:dyDescent="0.3">
      <c r="A26" s="15">
        <v>75</v>
      </c>
      <c r="B26" s="17" t="s">
        <v>41</v>
      </c>
      <c r="C26" s="18">
        <v>0.159</v>
      </c>
      <c r="D26" s="18">
        <v>0.159</v>
      </c>
      <c r="E26" s="18">
        <f t="shared" si="0"/>
        <v>0</v>
      </c>
      <c r="F26" s="18">
        <v>2197.94</v>
      </c>
      <c r="G26" s="19">
        <f t="shared" si="2"/>
        <v>0</v>
      </c>
      <c r="H26" s="19"/>
      <c r="I26" s="19"/>
      <c r="J26" s="19">
        <f t="shared" si="1"/>
        <v>0</v>
      </c>
    </row>
    <row r="27" spans="1:10" s="2" customFormat="1" ht="51" customHeight="1" x14ac:dyDescent="0.3">
      <c r="A27" s="15">
        <v>76</v>
      </c>
      <c r="B27" s="20" t="s">
        <v>36</v>
      </c>
      <c r="C27" s="18">
        <v>3.2589999999999999</v>
      </c>
      <c r="D27" s="18">
        <v>4.6260000000000003</v>
      </c>
      <c r="E27" s="18">
        <f t="shared" si="0"/>
        <v>1.3670000000000004</v>
      </c>
      <c r="F27" s="18">
        <v>2197.94</v>
      </c>
      <c r="G27" s="19">
        <f t="shared" si="2"/>
        <v>3004.5839800000012</v>
      </c>
      <c r="H27" s="19"/>
      <c r="I27" s="19">
        <v>7000</v>
      </c>
      <c r="J27" s="19">
        <f t="shared" si="1"/>
        <v>10004.583980000001</v>
      </c>
    </row>
    <row r="28" spans="1:10" s="2" customFormat="1" ht="51" customHeight="1" x14ac:dyDescent="0.3">
      <c r="A28" s="15">
        <v>77</v>
      </c>
      <c r="B28" s="21" t="s">
        <v>37</v>
      </c>
      <c r="C28" s="18">
        <v>3.9279999999999999</v>
      </c>
      <c r="D28" s="18">
        <v>12.068</v>
      </c>
      <c r="E28" s="18">
        <f t="shared" si="0"/>
        <v>8.14</v>
      </c>
      <c r="F28" s="18">
        <v>2197.94</v>
      </c>
      <c r="G28" s="19">
        <f t="shared" si="2"/>
        <v>17891.231600000003</v>
      </c>
      <c r="H28" s="19"/>
      <c r="I28" s="19">
        <v>7000</v>
      </c>
      <c r="J28" s="19">
        <f t="shared" si="1"/>
        <v>24891.231600000003</v>
      </c>
    </row>
    <row r="29" spans="1:10" s="2" customFormat="1" ht="51" customHeight="1" x14ac:dyDescent="0.3">
      <c r="A29" s="15">
        <v>78</v>
      </c>
      <c r="B29" s="20" t="s">
        <v>38</v>
      </c>
      <c r="C29" s="18">
        <v>2.802</v>
      </c>
      <c r="D29" s="18">
        <v>7.3879999999999999</v>
      </c>
      <c r="E29" s="18">
        <f t="shared" si="0"/>
        <v>4.5860000000000003</v>
      </c>
      <c r="F29" s="18">
        <v>2197.94</v>
      </c>
      <c r="G29" s="19">
        <f t="shared" si="2"/>
        <v>10079.752840000001</v>
      </c>
      <c r="H29" s="19"/>
      <c r="I29" s="19">
        <v>7000</v>
      </c>
      <c r="J29" s="19">
        <f t="shared" si="1"/>
        <v>17079.752840000001</v>
      </c>
    </row>
    <row r="30" spans="1:10" s="2" customFormat="1" ht="51" customHeight="1" x14ac:dyDescent="0.3">
      <c r="A30" s="15">
        <v>79</v>
      </c>
      <c r="B30" s="18" t="s">
        <v>43</v>
      </c>
      <c r="C30" s="18">
        <v>3.7909999999999999</v>
      </c>
      <c r="D30" s="18">
        <v>10.156000000000001</v>
      </c>
      <c r="E30" s="18">
        <f t="shared" si="0"/>
        <v>6.3650000000000002</v>
      </c>
      <c r="F30" s="18">
        <v>2197.94</v>
      </c>
      <c r="G30" s="19">
        <f t="shared" si="2"/>
        <v>13989.8881</v>
      </c>
      <c r="H30" s="19"/>
      <c r="I30" s="19">
        <v>7000</v>
      </c>
      <c r="J30" s="19">
        <f t="shared" si="1"/>
        <v>20989.8881</v>
      </c>
    </row>
    <row r="31" spans="1:10" s="2" customFormat="1" ht="51" customHeight="1" x14ac:dyDescent="0.3">
      <c r="A31" s="15">
        <v>80</v>
      </c>
      <c r="B31" s="20" t="s">
        <v>39</v>
      </c>
      <c r="C31" s="18">
        <v>2.8050000000000002</v>
      </c>
      <c r="D31" s="18">
        <v>9.3119999999999994</v>
      </c>
      <c r="E31" s="18">
        <f t="shared" si="0"/>
        <v>6.5069999999999997</v>
      </c>
      <c r="F31" s="18">
        <v>2197.94</v>
      </c>
      <c r="G31" s="19">
        <f t="shared" si="2"/>
        <v>14301.995579999999</v>
      </c>
      <c r="H31" s="19"/>
      <c r="I31" s="19">
        <v>7000</v>
      </c>
      <c r="J31" s="19">
        <f t="shared" si="1"/>
        <v>21301.995579999999</v>
      </c>
    </row>
    <row r="32" spans="1:10" s="2" customFormat="1" ht="51" customHeight="1" x14ac:dyDescent="0.3">
      <c r="A32" s="15">
        <v>81</v>
      </c>
      <c r="B32" s="17" t="s">
        <v>42</v>
      </c>
      <c r="C32" s="18">
        <v>6.4989999999999997</v>
      </c>
      <c r="D32" s="18">
        <v>17.571999999999999</v>
      </c>
      <c r="E32" s="18">
        <f t="shared" si="0"/>
        <v>11.073</v>
      </c>
      <c r="F32" s="18">
        <v>2197.94</v>
      </c>
      <c r="G32" s="19">
        <f t="shared" si="2"/>
        <v>24337.789620000003</v>
      </c>
      <c r="H32" s="19"/>
      <c r="I32" s="19">
        <v>7000</v>
      </c>
      <c r="J32" s="19">
        <f t="shared" si="1"/>
        <v>31337.789620000003</v>
      </c>
    </row>
    <row r="33" spans="1:11" s="2" customFormat="1" ht="51" customHeight="1" x14ac:dyDescent="0.3">
      <c r="A33" s="15">
        <v>82</v>
      </c>
      <c r="B33" s="20" t="s">
        <v>40</v>
      </c>
      <c r="C33" s="18">
        <v>1.0146999999999999</v>
      </c>
      <c r="D33" s="18">
        <v>3.44</v>
      </c>
      <c r="E33" s="18">
        <f t="shared" si="0"/>
        <v>2.4253</v>
      </c>
      <c r="F33" s="18">
        <v>2197.94</v>
      </c>
      <c r="G33" s="19">
        <f t="shared" si="2"/>
        <v>5330.6638819999998</v>
      </c>
      <c r="H33" s="19"/>
      <c r="I33" s="19">
        <v>7000</v>
      </c>
      <c r="J33" s="19">
        <f t="shared" si="1"/>
        <v>12330.663882000001</v>
      </c>
    </row>
    <row r="34" spans="1:11" s="2" customFormat="1" ht="51" customHeight="1" x14ac:dyDescent="0.3">
      <c r="A34" s="15">
        <v>83</v>
      </c>
      <c r="B34" s="17" t="s">
        <v>23</v>
      </c>
      <c r="C34" s="18">
        <v>1.6819999999999999</v>
      </c>
      <c r="D34" s="18">
        <v>7.968</v>
      </c>
      <c r="E34" s="18">
        <f t="shared" si="0"/>
        <v>6.2859999999999996</v>
      </c>
      <c r="F34" s="18">
        <v>2197.94</v>
      </c>
      <c r="G34" s="19">
        <f t="shared" si="2"/>
        <v>13816.250839999999</v>
      </c>
      <c r="H34" s="19"/>
      <c r="I34" s="19">
        <v>7000</v>
      </c>
      <c r="J34" s="19">
        <f t="shared" si="1"/>
        <v>20816.250840000001</v>
      </c>
    </row>
    <row r="35" spans="1:11" s="2" customFormat="1" ht="51" customHeight="1" x14ac:dyDescent="0.3">
      <c r="A35" s="15">
        <v>84</v>
      </c>
      <c r="B35" s="17" t="s">
        <v>29</v>
      </c>
      <c r="C35" s="18">
        <v>2.62</v>
      </c>
      <c r="D35" s="18">
        <v>6.9109999999999996</v>
      </c>
      <c r="E35" s="18">
        <f t="shared" si="0"/>
        <v>4.2909999999999995</v>
      </c>
      <c r="F35" s="18">
        <v>2197.94</v>
      </c>
      <c r="G35" s="19">
        <f t="shared" si="2"/>
        <v>9431.3605399999997</v>
      </c>
      <c r="H35" s="19"/>
      <c r="I35" s="19">
        <v>7000</v>
      </c>
      <c r="J35" s="19">
        <f t="shared" si="1"/>
        <v>16431.360540000001</v>
      </c>
    </row>
    <row r="36" spans="1:11" ht="51" customHeight="1" x14ac:dyDescent="0.3">
      <c r="A36" s="15">
        <v>85</v>
      </c>
      <c r="B36" s="17" t="s">
        <v>28</v>
      </c>
      <c r="C36" s="18">
        <v>8.9390000000000001</v>
      </c>
      <c r="D36" s="18">
        <v>27.248000000000001</v>
      </c>
      <c r="E36" s="18">
        <f t="shared" si="0"/>
        <v>18.309000000000001</v>
      </c>
      <c r="F36" s="18">
        <v>2197.94</v>
      </c>
      <c r="G36" s="19">
        <f t="shared" si="2"/>
        <v>40242.083460000002</v>
      </c>
      <c r="H36" s="19"/>
      <c r="I36" s="19">
        <v>7000</v>
      </c>
      <c r="J36" s="19">
        <f t="shared" si="1"/>
        <v>47242.083460000002</v>
      </c>
      <c r="K36" s="2"/>
    </row>
    <row r="37" spans="1:11" ht="51" customHeight="1" x14ac:dyDescent="0.3">
      <c r="A37" s="15">
        <v>86</v>
      </c>
      <c r="B37" s="17" t="s">
        <v>27</v>
      </c>
      <c r="C37" s="18">
        <v>3.306</v>
      </c>
      <c r="D37" s="18">
        <v>10.753</v>
      </c>
      <c r="E37" s="18">
        <f t="shared" si="0"/>
        <v>7.4470000000000001</v>
      </c>
      <c r="F37" s="18">
        <v>2197.94</v>
      </c>
      <c r="G37" s="19">
        <f t="shared" si="2"/>
        <v>16368.05918</v>
      </c>
      <c r="H37" s="19"/>
      <c r="I37" s="19">
        <v>7000</v>
      </c>
      <c r="J37" s="19">
        <f t="shared" si="1"/>
        <v>23368.05918</v>
      </c>
    </row>
    <row r="38" spans="1:11" ht="51" customHeight="1" x14ac:dyDescent="0.3">
      <c r="A38" s="15">
        <v>87</v>
      </c>
      <c r="B38" s="17" t="s">
        <v>26</v>
      </c>
      <c r="C38" s="18">
        <v>3.28</v>
      </c>
      <c r="D38" s="18">
        <v>9.4559999999999995</v>
      </c>
      <c r="E38" s="18">
        <f t="shared" si="0"/>
        <v>6.1760000000000002</v>
      </c>
      <c r="F38" s="18">
        <v>2197.94</v>
      </c>
      <c r="G38" s="19">
        <f t="shared" si="2"/>
        <v>13574.477440000001</v>
      </c>
      <c r="H38" s="19"/>
      <c r="I38" s="19">
        <v>7000</v>
      </c>
      <c r="J38" s="19">
        <f t="shared" si="1"/>
        <v>20574.477440000002</v>
      </c>
      <c r="K38" s="2"/>
    </row>
    <row r="39" spans="1:11" ht="51" customHeight="1" x14ac:dyDescent="0.3">
      <c r="A39" s="15">
        <v>88</v>
      </c>
      <c r="B39" s="17" t="s">
        <v>46</v>
      </c>
      <c r="C39" s="18">
        <v>3.5390000000000001</v>
      </c>
      <c r="D39" s="18">
        <v>13.827</v>
      </c>
      <c r="E39" s="18">
        <f t="shared" si="0"/>
        <v>10.288</v>
      </c>
      <c r="F39" s="18">
        <v>2197.94</v>
      </c>
      <c r="G39" s="19">
        <f t="shared" si="2"/>
        <v>22612.406720000003</v>
      </c>
      <c r="H39" s="19"/>
      <c r="I39" s="19">
        <v>7000</v>
      </c>
      <c r="J39" s="19">
        <f t="shared" si="1"/>
        <v>29612.406720000003</v>
      </c>
    </row>
    <row r="40" spans="1:11" ht="51" customHeight="1" x14ac:dyDescent="0.3">
      <c r="A40" s="15">
        <v>89</v>
      </c>
      <c r="B40" s="17" t="s">
        <v>25</v>
      </c>
      <c r="C40" s="18">
        <v>9.8689999999999998</v>
      </c>
      <c r="D40" s="18">
        <v>28.114000000000001</v>
      </c>
      <c r="E40" s="18">
        <f t="shared" si="0"/>
        <v>18.245000000000001</v>
      </c>
      <c r="F40" s="18">
        <v>2197.94</v>
      </c>
      <c r="G40" s="19">
        <f t="shared" si="2"/>
        <v>40101.415300000001</v>
      </c>
      <c r="H40" s="19"/>
      <c r="I40" s="19">
        <v>7000</v>
      </c>
      <c r="J40" s="19">
        <f t="shared" si="1"/>
        <v>47101.415300000001</v>
      </c>
      <c r="K40" s="2"/>
    </row>
    <row r="41" spans="1:11" ht="51" customHeight="1" x14ac:dyDescent="0.3">
      <c r="A41" s="15">
        <v>90</v>
      </c>
      <c r="B41" s="17" t="s">
        <v>24</v>
      </c>
      <c r="C41" s="18">
        <v>2.1789999999999998</v>
      </c>
      <c r="D41" s="18">
        <v>3.9609999999999999</v>
      </c>
      <c r="E41" s="18">
        <f t="shared" si="0"/>
        <v>1.782</v>
      </c>
      <c r="F41" s="18">
        <v>2197.94</v>
      </c>
      <c r="G41" s="19">
        <f t="shared" si="2"/>
        <v>3916.7290800000001</v>
      </c>
      <c r="H41" s="19"/>
      <c r="I41" s="19">
        <v>7000</v>
      </c>
      <c r="J41" s="19">
        <f t="shared" si="1"/>
        <v>10916.729080000001</v>
      </c>
      <c r="K41" s="2"/>
    </row>
    <row r="42" spans="1:11" ht="51" customHeight="1" x14ac:dyDescent="0.3">
      <c r="A42" s="15">
        <v>91</v>
      </c>
      <c r="B42" s="18" t="s">
        <v>53</v>
      </c>
      <c r="C42" s="18">
        <v>6.8579999999999997</v>
      </c>
      <c r="D42" s="18">
        <v>15.368</v>
      </c>
      <c r="E42" s="18">
        <f t="shared" si="0"/>
        <v>8.5100000000000016</v>
      </c>
      <c r="F42" s="18">
        <v>2197.94</v>
      </c>
      <c r="G42" s="19">
        <f t="shared" si="2"/>
        <v>18704.469400000005</v>
      </c>
      <c r="H42" s="19"/>
      <c r="I42" s="19">
        <v>7000</v>
      </c>
      <c r="J42" s="19">
        <f t="shared" si="1"/>
        <v>25704.469400000005</v>
      </c>
      <c r="K42" s="2"/>
    </row>
    <row r="43" spans="1:11" ht="51" customHeight="1" x14ac:dyDescent="0.3">
      <c r="A43" s="15">
        <v>92</v>
      </c>
      <c r="B43" s="17" t="s">
        <v>30</v>
      </c>
      <c r="C43" s="18">
        <v>0.20699999999999999</v>
      </c>
      <c r="D43" s="18">
        <v>0.21099999999999999</v>
      </c>
      <c r="E43" s="18">
        <f t="shared" si="0"/>
        <v>4.0000000000000036E-3</v>
      </c>
      <c r="F43" s="18">
        <v>2197.94</v>
      </c>
      <c r="G43" s="19">
        <f>E43*F43</f>
        <v>8.7917600000000089</v>
      </c>
      <c r="H43" s="19"/>
      <c r="I43" s="19">
        <v>0</v>
      </c>
      <c r="J43" s="19">
        <f t="shared" si="1"/>
        <v>8.7917600000000089</v>
      </c>
    </row>
    <row r="44" spans="1:11" ht="51" customHeight="1" x14ac:dyDescent="0.3">
      <c r="A44" s="15">
        <v>92</v>
      </c>
      <c r="B44" s="17" t="s">
        <v>31</v>
      </c>
      <c r="C44" s="18">
        <v>0.14099999999999999</v>
      </c>
      <c r="D44" s="18">
        <v>3.1880000000000002</v>
      </c>
      <c r="E44" s="18">
        <f t="shared" si="0"/>
        <v>3.0470000000000002</v>
      </c>
      <c r="F44" s="18">
        <v>2197.94</v>
      </c>
      <c r="G44" s="19">
        <f t="shared" si="2"/>
        <v>6697.1231800000005</v>
      </c>
      <c r="H44" s="19"/>
      <c r="I44" s="19">
        <v>0</v>
      </c>
      <c r="J44" s="19">
        <f t="shared" si="1"/>
        <v>6697.1231800000005</v>
      </c>
    </row>
    <row r="45" spans="1:11" ht="51" customHeight="1" x14ac:dyDescent="0.3">
      <c r="A45" s="22"/>
      <c r="B45" s="18" t="s">
        <v>45</v>
      </c>
      <c r="C45" s="18">
        <v>0.122</v>
      </c>
      <c r="D45" s="18">
        <v>531.70399999999995</v>
      </c>
      <c r="E45" s="18">
        <f t="shared" si="0"/>
        <v>531.58199999999999</v>
      </c>
      <c r="F45" s="18"/>
      <c r="G45" s="19"/>
      <c r="H45" s="19"/>
      <c r="I45" s="19"/>
      <c r="J45" s="19">
        <f>SUM(J2:J44)</f>
        <v>1044008.292142</v>
      </c>
    </row>
    <row r="46" spans="1:11" ht="51" customHeight="1" x14ac:dyDescent="0.3">
      <c r="B46" s="23"/>
      <c r="C46" s="24"/>
      <c r="E46" s="30"/>
      <c r="F46" s="7"/>
      <c r="G46" s="28"/>
      <c r="H46" s="9"/>
    </row>
    <row r="47" spans="1:11" ht="51" customHeight="1" x14ac:dyDescent="0.3">
      <c r="B47" s="25"/>
      <c r="C47" s="26"/>
      <c r="F47" s="8"/>
      <c r="G47" s="10"/>
    </row>
    <row r="48" spans="1:11" ht="51" customHeight="1" x14ac:dyDescent="0.3">
      <c r="B48" s="27"/>
      <c r="C48" s="29"/>
      <c r="F48" s="11"/>
      <c r="G48" s="9"/>
      <c r="I48" s="5"/>
    </row>
    <row r="49" spans="2:8" ht="51" customHeight="1" x14ac:dyDescent="0.3">
      <c r="B49" s="12"/>
      <c r="C49" s="3"/>
    </row>
    <row r="50" spans="2:8" ht="51" customHeight="1" x14ac:dyDescent="0.3">
      <c r="B50" s="12"/>
      <c r="C50" s="4"/>
      <c r="H50" s="6"/>
    </row>
  </sheetData>
  <pageMargins left="0.7" right="0.7" top="0.75" bottom="0.75" header="0.3" footer="0.3"/>
  <pageSetup paperSize="9" orientation="portrait" r:id="rId1"/>
  <headerFooter>
    <oddHeader>&amp;CLECTURA DE MEDIDORES DE AGUA
BARRIO TRANSITORIO 13 DE MAYO&amp;RFECHA: _______________</oddHeader>
    <oddFooter>&amp;CCOMITÉ DE ADELANTO Y DESARROLLO 13 DE MAYO DE ANTOFAGASTA
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Turpie</dc:creator>
  <cp:lastModifiedBy>Mohammed sabra</cp:lastModifiedBy>
  <cp:lastPrinted>2025-05-26T03:17:59Z</cp:lastPrinted>
  <dcterms:created xsi:type="dcterms:W3CDTF">2023-05-29T19:15:17Z</dcterms:created>
  <dcterms:modified xsi:type="dcterms:W3CDTF">2025-12-03T23:32:33Z</dcterms:modified>
</cp:coreProperties>
</file>