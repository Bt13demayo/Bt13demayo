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ION\Desktop\BARRIO TRANSITORIO 13 DE MAYO\pagos y lecturas\2026\FEBRERO\"/>
    </mc:Choice>
  </mc:AlternateContent>
  <xr:revisionPtr revIDLastSave="0" documentId="13_ncr:1_{E52C4341-FBB6-49AC-8EBF-3156F70982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 ETAPA" sheetId="1" r:id="rId1"/>
    <sheet name="II ETAPA" sheetId="3" r:id="rId2"/>
  </sheets>
  <definedNames>
    <definedName name="_xlnm._FilterDatabase" localSheetId="0" hidden="1">'I ETAPA'!$A$1:$D$43</definedName>
    <definedName name="_xlnm._FilterDatabase" localSheetId="1" hidden="1">'II ETAPA'!$A$1:$K$37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4" i="1" l="1"/>
  <c r="H74" i="1" s="1"/>
  <c r="K74" i="1" s="1"/>
  <c r="F73" i="1"/>
  <c r="H73" i="1" s="1"/>
  <c r="K73" i="1" s="1"/>
  <c r="H72" i="1"/>
  <c r="K72" i="1" s="1"/>
  <c r="F72" i="1"/>
  <c r="F71" i="1"/>
  <c r="H71" i="1" s="1"/>
  <c r="K71" i="1" s="1"/>
  <c r="F70" i="1"/>
  <c r="H70" i="1" s="1"/>
  <c r="K70" i="1" s="1"/>
  <c r="F69" i="1"/>
  <c r="H69" i="1" s="1"/>
  <c r="K69" i="1" s="1"/>
  <c r="H68" i="1"/>
  <c r="K68" i="1" s="1"/>
  <c r="F68" i="1"/>
  <c r="F67" i="1"/>
  <c r="H67" i="1" s="1"/>
  <c r="K67" i="1" s="1"/>
  <c r="F66" i="1"/>
  <c r="H66" i="1" s="1"/>
  <c r="K66" i="1" s="1"/>
  <c r="F65" i="1"/>
  <c r="H65" i="1" s="1"/>
  <c r="K65" i="1" s="1"/>
  <c r="H64" i="1"/>
  <c r="K64" i="1" s="1"/>
  <c r="F64" i="1"/>
  <c r="F63" i="1"/>
  <c r="H63" i="1" s="1"/>
  <c r="K63" i="1" s="1"/>
  <c r="F62" i="1"/>
  <c r="H62" i="1" s="1"/>
  <c r="K62" i="1" s="1"/>
  <c r="F61" i="1"/>
  <c r="H61" i="1" s="1"/>
  <c r="K61" i="1" s="1"/>
  <c r="H60" i="1"/>
  <c r="K60" i="1" s="1"/>
  <c r="F60" i="1"/>
  <c r="F59" i="1"/>
  <c r="H59" i="1" s="1"/>
  <c r="K59" i="1" s="1"/>
  <c r="F58" i="1"/>
  <c r="H58" i="1" s="1"/>
  <c r="K58" i="1" s="1"/>
  <c r="F57" i="1"/>
  <c r="H57" i="1" s="1"/>
  <c r="K57" i="1" s="1"/>
  <c r="H56" i="1"/>
  <c r="K56" i="1" s="1"/>
  <c r="F56" i="1"/>
  <c r="F55" i="1"/>
  <c r="H55" i="1" s="1"/>
  <c r="K55" i="1" s="1"/>
  <c r="F54" i="1"/>
  <c r="H54" i="1" s="1"/>
  <c r="K54" i="1" s="1"/>
  <c r="F53" i="1"/>
  <c r="H53" i="1" s="1"/>
  <c r="K53" i="1" s="1"/>
  <c r="H52" i="1"/>
  <c r="K52" i="1" s="1"/>
  <c r="F52" i="1"/>
  <c r="F51" i="1"/>
  <c r="H51" i="1" s="1"/>
  <c r="K51" i="1" s="1"/>
  <c r="F50" i="1"/>
  <c r="H50" i="1" s="1"/>
  <c r="K50" i="1" s="1"/>
  <c r="F49" i="1"/>
  <c r="H49" i="1" s="1"/>
  <c r="K49" i="1" s="1"/>
  <c r="H48" i="1"/>
  <c r="K48" i="1" s="1"/>
  <c r="F48" i="1"/>
  <c r="F47" i="1"/>
  <c r="H47" i="1" s="1"/>
  <c r="K47" i="1" s="1"/>
  <c r="F46" i="1"/>
  <c r="H46" i="1" s="1"/>
  <c r="K46" i="1" s="1"/>
  <c r="F45" i="1"/>
  <c r="H45" i="1" s="1"/>
  <c r="K45" i="1" s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F3" i="3"/>
  <c r="H3" i="3" s="1"/>
  <c r="F4" i="3"/>
  <c r="H4" i="3" s="1"/>
  <c r="F5" i="3"/>
  <c r="H5" i="3" s="1"/>
  <c r="F6" i="3"/>
  <c r="H6" i="3" s="1"/>
  <c r="F7" i="3"/>
  <c r="H7" i="3" s="1"/>
  <c r="F8" i="3"/>
  <c r="H8" i="3" s="1"/>
  <c r="F9" i="3"/>
  <c r="H9" i="3" s="1"/>
  <c r="F10" i="3"/>
  <c r="H10" i="3" s="1"/>
  <c r="F11" i="3"/>
  <c r="H11" i="3" s="1"/>
  <c r="F12" i="3"/>
  <c r="H12" i="3" s="1"/>
  <c r="F13" i="3"/>
  <c r="H13" i="3" s="1"/>
  <c r="F14" i="3"/>
  <c r="H14" i="3" s="1"/>
  <c r="F15" i="3"/>
  <c r="H15" i="3" s="1"/>
  <c r="F16" i="3"/>
  <c r="H16" i="3" s="1"/>
  <c r="F17" i="3"/>
  <c r="H17" i="3" s="1"/>
  <c r="F18" i="3"/>
  <c r="H18" i="3" s="1"/>
  <c r="F19" i="3"/>
  <c r="H19" i="3" s="1"/>
  <c r="F20" i="3"/>
  <c r="H20" i="3" s="1"/>
  <c r="F21" i="3"/>
  <c r="H21" i="3" s="1"/>
  <c r="F22" i="3"/>
  <c r="H22" i="3" s="1"/>
  <c r="F23" i="3"/>
  <c r="H23" i="3" s="1"/>
  <c r="F24" i="3"/>
  <c r="F25" i="3"/>
  <c r="H25" i="3" s="1"/>
  <c r="F26" i="3"/>
  <c r="H26" i="3" s="1"/>
  <c r="F27" i="3"/>
  <c r="H27" i="3" s="1"/>
  <c r="F28" i="3"/>
  <c r="H28" i="3" s="1"/>
  <c r="F29" i="3"/>
  <c r="H29" i="3" s="1"/>
  <c r="F30" i="3"/>
  <c r="H30" i="3" s="1"/>
  <c r="F31" i="3"/>
  <c r="H31" i="3"/>
  <c r="F32" i="3"/>
  <c r="H32" i="3" s="1"/>
  <c r="F2" i="3"/>
  <c r="H2" i="3" s="1"/>
  <c r="J33" i="3"/>
  <c r="C35" i="3"/>
  <c r="I33" i="3"/>
  <c r="H24" i="3" l="1"/>
  <c r="F33" i="3"/>
  <c r="H33" i="3" l="1"/>
  <c r="D36" i="3" s="1"/>
  <c r="D38" i="3" s="1"/>
  <c r="F3" i="1"/>
  <c r="H3" i="1" s="1"/>
  <c r="K3" i="1" s="1"/>
  <c r="F4" i="1"/>
  <c r="H4" i="1" s="1"/>
  <c r="K4" i="1" s="1"/>
  <c r="F5" i="1"/>
  <c r="H5" i="1" s="1"/>
  <c r="K5" i="1" s="1"/>
  <c r="F6" i="1"/>
  <c r="H6" i="1" s="1"/>
  <c r="K6" i="1" s="1"/>
  <c r="F7" i="1"/>
  <c r="H7" i="1" s="1"/>
  <c r="K7" i="1" s="1"/>
  <c r="F8" i="1"/>
  <c r="H8" i="1" s="1"/>
  <c r="K8" i="1" s="1"/>
  <c r="F9" i="1"/>
  <c r="H9" i="1" s="1"/>
  <c r="K9" i="1" s="1"/>
  <c r="F10" i="1"/>
  <c r="H10" i="1" s="1"/>
  <c r="K10" i="1" s="1"/>
  <c r="F11" i="1"/>
  <c r="H11" i="1" s="1"/>
  <c r="K11" i="1" s="1"/>
  <c r="F12" i="1"/>
  <c r="H12" i="1" s="1"/>
  <c r="K12" i="1" s="1"/>
  <c r="F13" i="1"/>
  <c r="H13" i="1" s="1"/>
  <c r="K13" i="1" s="1"/>
  <c r="F14" i="1"/>
  <c r="H14" i="1" s="1"/>
  <c r="K14" i="1" s="1"/>
  <c r="F15" i="1"/>
  <c r="H15" i="1" s="1"/>
  <c r="K15" i="1" s="1"/>
  <c r="F16" i="1"/>
  <c r="H16" i="1" s="1"/>
  <c r="K16" i="1" s="1"/>
  <c r="F17" i="1"/>
  <c r="H17" i="1" s="1"/>
  <c r="K17" i="1" s="1"/>
  <c r="F18" i="1"/>
  <c r="H18" i="1" s="1"/>
  <c r="K18" i="1" s="1"/>
  <c r="F19" i="1"/>
  <c r="H19" i="1" s="1"/>
  <c r="K19" i="1" s="1"/>
  <c r="F20" i="1"/>
  <c r="H20" i="1" s="1"/>
  <c r="K20" i="1" s="1"/>
  <c r="F21" i="1"/>
  <c r="H21" i="1" s="1"/>
  <c r="K21" i="1" s="1"/>
  <c r="F22" i="1"/>
  <c r="H22" i="1" s="1"/>
  <c r="K22" i="1" s="1"/>
  <c r="F23" i="1"/>
  <c r="H23" i="1" s="1"/>
  <c r="K23" i="1" s="1"/>
  <c r="F24" i="1"/>
  <c r="H24" i="1" s="1"/>
  <c r="K24" i="1" s="1"/>
  <c r="F25" i="1"/>
  <c r="H25" i="1" s="1"/>
  <c r="K25" i="1" s="1"/>
  <c r="F26" i="1"/>
  <c r="H26" i="1" s="1"/>
  <c r="K26" i="1" s="1"/>
  <c r="F27" i="1"/>
  <c r="H27" i="1" s="1"/>
  <c r="K27" i="1" s="1"/>
  <c r="F28" i="1"/>
  <c r="H28" i="1" s="1"/>
  <c r="K28" i="1" s="1"/>
  <c r="F29" i="1"/>
  <c r="H29" i="1" s="1"/>
  <c r="K29" i="1" s="1"/>
  <c r="F30" i="1"/>
  <c r="H30" i="1" s="1"/>
  <c r="K30" i="1" s="1"/>
  <c r="F31" i="1"/>
  <c r="H31" i="1" s="1"/>
  <c r="K31" i="1" s="1"/>
  <c r="F32" i="1"/>
  <c r="H32" i="1" s="1"/>
  <c r="K32" i="1" s="1"/>
  <c r="F33" i="1"/>
  <c r="H33" i="1" s="1"/>
  <c r="K33" i="1" s="1"/>
  <c r="F34" i="1"/>
  <c r="H34" i="1" s="1"/>
  <c r="K34" i="1" s="1"/>
  <c r="F35" i="1"/>
  <c r="H35" i="1" s="1"/>
  <c r="K35" i="1" s="1"/>
  <c r="F36" i="1"/>
  <c r="H36" i="1" s="1"/>
  <c r="K36" i="1" s="1"/>
  <c r="F37" i="1"/>
  <c r="H37" i="1" s="1"/>
  <c r="K37" i="1" s="1"/>
  <c r="F38" i="1"/>
  <c r="H38" i="1" s="1"/>
  <c r="K38" i="1" s="1"/>
  <c r="F39" i="1"/>
  <c r="H39" i="1" s="1"/>
  <c r="K39" i="1" s="1"/>
  <c r="F40" i="1"/>
  <c r="H40" i="1" s="1"/>
  <c r="K40" i="1" s="1"/>
  <c r="F41" i="1"/>
  <c r="H41" i="1" s="1"/>
  <c r="K41" i="1" s="1"/>
  <c r="F42" i="1"/>
  <c r="H42" i="1" s="1"/>
  <c r="K42" i="1" s="1"/>
  <c r="F43" i="1"/>
  <c r="H43" i="1" s="1"/>
  <c r="K43" i="1" s="1"/>
  <c r="F44" i="1"/>
  <c r="H44" i="1" s="1"/>
  <c r="K44" i="1" s="1"/>
  <c r="F2" i="1"/>
  <c r="H2" i="1" l="1"/>
  <c r="K2" i="1" l="1"/>
</calcChain>
</file>

<file path=xl/sharedStrings.xml><?xml version="1.0" encoding="utf-8"?>
<sst xmlns="http://schemas.openxmlformats.org/spreadsheetml/2006/main" count="135" uniqueCount="94">
  <si>
    <t>CASA</t>
  </si>
  <si>
    <t>SANDRA JANNINA ARMIJOS BONILLA</t>
  </si>
  <si>
    <t>KAREN ROCIO BALERIANO ORTIZ</t>
  </si>
  <si>
    <t>LINA YOANA ARIAS GUAPIZ</t>
  </si>
  <si>
    <t>FELIX ASPRILLA IBARQUEN</t>
  </si>
  <si>
    <t>AUREA CASTILLO QUIÑONES</t>
  </si>
  <si>
    <t>CARLA GABRIELA ZAMORA VERA</t>
  </si>
  <si>
    <t>ANGIE TATIANA ANGULO</t>
  </si>
  <si>
    <t>YORLI ANGULO QUIÑONES</t>
  </si>
  <si>
    <t>MARITZA MORAN MANCILLA</t>
  </si>
  <si>
    <t>PAULA VANESSA CHALA OROBIO</t>
  </si>
  <si>
    <t>ADELFA CAMAYO DAGUA</t>
  </si>
  <si>
    <t>JESÚS MARTÍNEZ ARBODELA MANCILLA</t>
  </si>
  <si>
    <t>ENRIQUE FAVIAN ZAMORA LINARES</t>
  </si>
  <si>
    <t>BETY CAMAYO MARTINEZ</t>
  </si>
  <si>
    <t xml:space="preserve">RAFAELA ROMERO OBREGON </t>
  </si>
  <si>
    <t>DAYANA MONTENEGRO ALDANA</t>
  </si>
  <si>
    <t>FRANKY MAURICIO CANDELO QUINTERO</t>
  </si>
  <si>
    <t>JOSÉ BERNARDO PULIDO CASTRILLÓN</t>
  </si>
  <si>
    <t>NILSON CUAMA VICTORIA</t>
  </si>
  <si>
    <t>RICARDO ANDRES BELTRAN DUQUE</t>
  </si>
  <si>
    <t>EDWIN FELIPE CORREA</t>
  </si>
  <si>
    <t>OFICINA</t>
  </si>
  <si>
    <t>WALTER ARTURO DÍAZ ROJAS</t>
  </si>
  <si>
    <t>LEIDY TATIANA DUARTE DÍAZ</t>
  </si>
  <si>
    <t>JOEL LUCIO CARTAGENA TIRINA</t>
  </si>
  <si>
    <t>MARTA TABORDA GONZALEZ</t>
  </si>
  <si>
    <t>YHAMILED GONZALEZ PARRA</t>
  </si>
  <si>
    <t>BERNARDINA ESPINOZA VELAZQUEZ</t>
  </si>
  <si>
    <t>GARITA</t>
  </si>
  <si>
    <t>SALA DE BASURA</t>
  </si>
  <si>
    <t>LECTURA ACTUAL</t>
  </si>
  <si>
    <t>NOMBRE DEL TITULAR DE LA VIVIENDA</t>
  </si>
  <si>
    <t xml:space="preserve">MOHAMMED SABRA </t>
  </si>
  <si>
    <t>Jhovanna Mamani Vecerra</t>
  </si>
  <si>
    <t>Daniel Pino Nova</t>
  </si>
  <si>
    <t>Ana Achu</t>
  </si>
  <si>
    <t>Remunda Sanchez Martinez</t>
  </si>
  <si>
    <t>Nahir Humazo</t>
  </si>
  <si>
    <t xml:space="preserve">Emiliana Torejon Condori </t>
  </si>
  <si>
    <t xml:space="preserve">SIN ASIGNAR </t>
  </si>
  <si>
    <t>ROSA DE LA CRUZ</t>
  </si>
  <si>
    <t>HILDA RAMIREZ</t>
  </si>
  <si>
    <t xml:space="preserve">LECTURA ANTERIOR </t>
  </si>
  <si>
    <t>PAULA SERNA CASSOS</t>
  </si>
  <si>
    <t>CONSUMO DE AGUA M3</t>
  </si>
  <si>
    <t>VALOR DE M3</t>
  </si>
  <si>
    <t>SUBTOTAL</t>
  </si>
  <si>
    <t>CONSUMO GENERAL</t>
  </si>
  <si>
    <t>GASTO COMUN</t>
  </si>
  <si>
    <t>LEIDY APONTE ROMÁN</t>
  </si>
  <si>
    <t>CARGO FIJO</t>
  </si>
  <si>
    <t>SUB TOTAL</t>
  </si>
  <si>
    <t>DIFERENCIA SUBTOTAL Y BOLETA</t>
  </si>
  <si>
    <t>CARGO CONSUMO GENERAL</t>
  </si>
  <si>
    <t>TOTAL A PAGAR</t>
  </si>
  <si>
    <t>N° REMARCADOR</t>
  </si>
  <si>
    <t>DARYOLI MARBELLA MALAVE SANDOVAL</t>
  </si>
  <si>
    <t>TOTAL DICIEMBRE</t>
  </si>
  <si>
    <t>REMARCADOR II ETAPA</t>
  </si>
  <si>
    <t>SEDE</t>
  </si>
  <si>
    <t>TERESA NICOL CABALLERO VARGAS</t>
  </si>
  <si>
    <t>CARMEN ROSA ESPINOZA VEDIA</t>
  </si>
  <si>
    <t>SAMUEL SAIGUA PUMA</t>
  </si>
  <si>
    <t>CLAUDIA PAMELA SILVERA MAMANI</t>
  </si>
  <si>
    <t>GUILLERMO YUPARI QUISPE</t>
  </si>
  <si>
    <t>YOVANY ALEXANDER GODOY GRANDA</t>
  </si>
  <si>
    <t>LUZ PATRICIA CASTAÑEDA ACEVEDO</t>
  </si>
  <si>
    <t>LUZ STELLA ENRIQUEZ VELEZ</t>
  </si>
  <si>
    <t>MARIA GIOVANNA LOPEZ  VILLARROEL</t>
  </si>
  <si>
    <t>VERONICA ANA MENACHO SOSA</t>
  </si>
  <si>
    <t>GABRIEL CANAVIRI UMIRI</t>
  </si>
  <si>
    <t>GUSTAVO ENRIQUE ARAOS VILCHES</t>
  </si>
  <si>
    <t>ENILDA ANTINOPAY</t>
  </si>
  <si>
    <t>ANA YOLANDA PERLAZA ORTIZ</t>
  </si>
  <si>
    <t>CARLA YANIRA FIGUEROA ALARCON</t>
  </si>
  <si>
    <t>ALBERTO ANGULO GARCES</t>
  </si>
  <si>
    <t>MATILDE LERMA MANSILLA</t>
  </si>
  <si>
    <t>PACIFICA LERMA MANCILLA</t>
  </si>
  <si>
    <t>MARIA LESLY ACOSTA EUSE</t>
  </si>
  <si>
    <t>GETRUDES FELIPE GUTIERREZ</t>
  </si>
  <si>
    <t>YENNY MARIA ORDOÑEZ BECERRA</t>
  </si>
  <si>
    <t>ADENSON ALESANDER PAZ</t>
  </si>
  <si>
    <t>WASHINTON SANCHEZ RIOJO</t>
  </si>
  <si>
    <t>MIGUEL ANGEL LERMA MANCILLA</t>
  </si>
  <si>
    <t>SANTOS FERMÍN GODOY TENORIO</t>
  </si>
  <si>
    <t>SILVANA CAMACHO VENEGAS</t>
  </si>
  <si>
    <t>EDGAR CAYRA YUCRA</t>
  </si>
  <si>
    <t>EPIFANIA FERNANDEZ ORTEGA</t>
  </si>
  <si>
    <t>EDGAR ROQUE CRUZ</t>
  </si>
  <si>
    <t>CONSUMO 201 M3</t>
  </si>
  <si>
    <t>RECARGO MEDIDORES EN MAL ESTADO</t>
  </si>
  <si>
    <t>Gasto comun pagado hasta marzo</t>
  </si>
  <si>
    <t>Pagado hasta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</si>
</sst>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_ ;_ &quot;$&quot;* \-#,##0_ ;_ &quot;$&quot;* &quot;-&quot;_ ;_ @_ 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Arial Narrow"/>
      <family val="2"/>
    </font>
    <font>
      <b/>
      <sz val="8"/>
      <name val="Calibri"/>
      <family val="2"/>
      <scheme val="minor"/>
    </font>
    <font>
      <b/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Font="1" applyFill="1" applyBorder="1" applyAlignment="1">
      <alignment horizontal="center"/>
    </xf>
    <xf numFmtId="164" fontId="2" fillId="0" borderId="0" xfId="0" applyNumberFormat="1" applyFont="1"/>
    <xf numFmtId="164" fontId="2" fillId="0" borderId="0" xfId="1" applyFont="1" applyFill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4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2" fillId="0" borderId="1" xfId="1" applyNumberFormat="1" applyFont="1" applyFill="1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3" fillId="0" borderId="1" xfId="0" applyFont="1" applyBorder="1"/>
    <xf numFmtId="164" fontId="5" fillId="0" borderId="0" xfId="1" applyFont="1" applyFill="1" applyAlignment="1">
      <alignment vertical="center"/>
    </xf>
    <xf numFmtId="0" fontId="2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2" fillId="0" borderId="0" xfId="1" applyFont="1"/>
    <xf numFmtId="164" fontId="5" fillId="0" borderId="0" xfId="0" applyNumberFormat="1" applyFont="1"/>
    <xf numFmtId="164" fontId="2" fillId="0" borderId="0" xfId="1" applyFont="1" applyFill="1" applyBorder="1"/>
    <xf numFmtId="164" fontId="2" fillId="0" borderId="1" xfId="1" applyFont="1" applyFill="1" applyBorder="1"/>
    <xf numFmtId="0" fontId="3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3" fillId="0" borderId="1" xfId="1" applyNumberFormat="1" applyFont="1" applyFill="1" applyBorder="1"/>
    <xf numFmtId="164" fontId="3" fillId="0" borderId="1" xfId="1" applyFont="1" applyFill="1" applyBorder="1"/>
    <xf numFmtId="164" fontId="3" fillId="0" borderId="0" xfId="0" applyNumberFormat="1" applyFont="1"/>
    <xf numFmtId="0" fontId="3" fillId="0" borderId="1" xfId="1" applyNumberFormat="1" applyFont="1" applyBorder="1" applyAlignment="1">
      <alignment horizontal="center" vertical="center" wrapText="1"/>
    </xf>
    <xf numFmtId="0" fontId="2" fillId="0" borderId="0" xfId="1" applyNumberFormat="1" applyFont="1"/>
    <xf numFmtId="164" fontId="3" fillId="0" borderId="1" xfId="1" applyFont="1" applyFill="1" applyBorder="1" applyAlignment="1">
      <alignment horizontal="center" vertical="center" wrapText="1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1AC2A27-2549-46DC-9171-F6096F92ACE4}">
  <we:reference id="wa200005271" version="2.5.5.0" store="es-E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0CC927DD-13EE-4A2D-B28B-56E3BF4F3C02}">
  <we:reference id="wa200006009" version="2.1.0.10" store="es-ES" storeType="OMEX"/>
  <we:alternateReferences>
    <we:reference id="WA200006009" version="2.1.0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showGridLines="0" tabSelected="1" showRuler="0" zoomScale="70" zoomScaleNormal="70" zoomScaleSheetLayoutView="80" zoomScalePageLayoutView="136" workbookViewId="0">
      <pane ySplit="1" topLeftCell="A68" activePane="bottomLeft" state="frozen"/>
      <selection pane="bottomLeft" activeCell="L47" sqref="L47"/>
    </sheetView>
  </sheetViews>
  <sheetFormatPr baseColWidth="10" defaultColWidth="14.44140625" defaultRowHeight="51" customHeight="1" x14ac:dyDescent="0.3"/>
  <cols>
    <col min="1" max="1" width="7.77734375" style="1" customWidth="1"/>
    <col min="2" max="2" width="37.5546875" style="1" bestFit="1" customWidth="1"/>
    <col min="3" max="3" width="12.77734375" style="1" bestFit="1" customWidth="1"/>
    <col min="4" max="4" width="14.88671875" style="2" customWidth="1"/>
    <col min="5" max="5" width="11.77734375" style="1" customWidth="1"/>
    <col min="6" max="6" width="17.33203125" style="1" customWidth="1"/>
    <col min="7" max="7" width="11.21875" style="1" bestFit="1" customWidth="1"/>
    <col min="8" max="8" width="13.88671875" style="1" bestFit="1" customWidth="1"/>
    <col min="9" max="9" width="14.44140625" style="1"/>
    <col min="10" max="10" width="11.109375" style="1" bestFit="1" customWidth="1"/>
    <col min="11" max="11" width="18.21875" style="39" bestFit="1" customWidth="1"/>
    <col min="12" max="16384" width="14.44140625" style="1"/>
  </cols>
  <sheetData>
    <row r="1" spans="1:12" ht="51" customHeight="1" x14ac:dyDescent="0.3">
      <c r="A1" s="14" t="s">
        <v>0</v>
      </c>
      <c r="B1" s="14" t="s">
        <v>32</v>
      </c>
      <c r="C1" s="25" t="s">
        <v>56</v>
      </c>
      <c r="D1" s="14" t="s">
        <v>43</v>
      </c>
      <c r="E1" s="14" t="s">
        <v>31</v>
      </c>
      <c r="F1" s="14" t="s">
        <v>45</v>
      </c>
      <c r="G1" s="26" t="s">
        <v>46</v>
      </c>
      <c r="H1" s="16" t="s">
        <v>47</v>
      </c>
      <c r="I1" s="14" t="s">
        <v>48</v>
      </c>
      <c r="J1" s="14" t="s">
        <v>49</v>
      </c>
      <c r="K1" s="38" t="s">
        <v>55</v>
      </c>
    </row>
    <row r="2" spans="1:12" ht="51" customHeight="1" x14ac:dyDescent="0.3">
      <c r="A2" s="15">
        <v>1</v>
      </c>
      <c r="B2" s="17" t="s">
        <v>1</v>
      </c>
      <c r="C2" s="27">
        <v>106122</v>
      </c>
      <c r="D2" s="18">
        <v>62.710999999999999</v>
      </c>
      <c r="E2" s="18">
        <v>85.507000000000005</v>
      </c>
      <c r="F2" s="18">
        <f>E2-D2</f>
        <v>22.796000000000006</v>
      </c>
      <c r="G2" s="18">
        <v>2197.4</v>
      </c>
      <c r="H2" s="19">
        <f>F2*G2</f>
        <v>50091.930400000019</v>
      </c>
      <c r="I2" s="32">
        <v>864</v>
      </c>
      <c r="J2" s="19">
        <v>7000</v>
      </c>
      <c r="K2" s="19">
        <f>H2+I2+J2</f>
        <v>57955.930400000019</v>
      </c>
    </row>
    <row r="3" spans="1:12" ht="51" customHeight="1" x14ac:dyDescent="0.3">
      <c r="A3" s="15">
        <v>2</v>
      </c>
      <c r="B3" s="17" t="s">
        <v>2</v>
      </c>
      <c r="C3" s="27">
        <v>106124</v>
      </c>
      <c r="D3" s="18">
        <v>22.548999999999999</v>
      </c>
      <c r="E3" s="18">
        <v>25.795999999999999</v>
      </c>
      <c r="F3" s="18">
        <f t="shared" ref="F3:F44" si="0">E3-D3</f>
        <v>3.2469999999999999</v>
      </c>
      <c r="G3" s="18">
        <v>2197.4</v>
      </c>
      <c r="H3" s="19">
        <f>F3*G3</f>
        <v>7134.9578000000001</v>
      </c>
      <c r="I3" s="32">
        <v>864</v>
      </c>
      <c r="J3" s="19">
        <v>7000</v>
      </c>
      <c r="K3" s="19">
        <f t="shared" ref="K3:K44" si="1">H3+I3+J3</f>
        <v>14998.9578</v>
      </c>
    </row>
    <row r="4" spans="1:12" ht="51" customHeight="1" x14ac:dyDescent="0.3">
      <c r="A4" s="15">
        <v>3</v>
      </c>
      <c r="B4" s="17" t="s">
        <v>3</v>
      </c>
      <c r="C4" s="27">
        <v>106126</v>
      </c>
      <c r="D4" s="18">
        <v>20.385000000000002</v>
      </c>
      <c r="E4" s="18">
        <v>24.664999999999999</v>
      </c>
      <c r="F4" s="18">
        <f t="shared" si="0"/>
        <v>4.2799999999999976</v>
      </c>
      <c r="G4" s="18">
        <v>2197.4</v>
      </c>
      <c r="H4" s="19">
        <f t="shared" ref="H4:H44" si="2">F4*G4</f>
        <v>9404.8719999999958</v>
      </c>
      <c r="I4" s="32">
        <v>864</v>
      </c>
      <c r="J4" s="19">
        <v>7000</v>
      </c>
      <c r="K4" s="19">
        <f t="shared" si="1"/>
        <v>17268.871999999996</v>
      </c>
    </row>
    <row r="5" spans="1:12" ht="51" customHeight="1" x14ac:dyDescent="0.3">
      <c r="A5" s="15">
        <v>7</v>
      </c>
      <c r="B5" s="17" t="s">
        <v>4</v>
      </c>
      <c r="C5" s="27">
        <v>106132</v>
      </c>
      <c r="D5" s="18">
        <v>29.369</v>
      </c>
      <c r="E5" s="18">
        <v>33.735999999999997</v>
      </c>
      <c r="F5" s="18">
        <f t="shared" si="0"/>
        <v>4.3669999999999973</v>
      </c>
      <c r="G5" s="18">
        <v>2197.4</v>
      </c>
      <c r="H5" s="19">
        <f t="shared" si="2"/>
        <v>9596.0457999999944</v>
      </c>
      <c r="I5" s="32">
        <v>864</v>
      </c>
      <c r="J5" s="19">
        <v>7000</v>
      </c>
      <c r="K5" s="19">
        <f t="shared" si="1"/>
        <v>17460.045799999993</v>
      </c>
    </row>
    <row r="6" spans="1:12" ht="51" customHeight="1" x14ac:dyDescent="0.3">
      <c r="A6" s="15">
        <v>10</v>
      </c>
      <c r="B6" s="17" t="s">
        <v>5</v>
      </c>
      <c r="C6" s="27">
        <v>106224</v>
      </c>
      <c r="D6" s="18">
        <v>77.295000000000002</v>
      </c>
      <c r="E6" s="18">
        <v>94.18</v>
      </c>
      <c r="F6" s="18">
        <f t="shared" si="0"/>
        <v>16.885000000000005</v>
      </c>
      <c r="G6" s="18">
        <v>2197.4</v>
      </c>
      <c r="H6" s="19">
        <f t="shared" si="2"/>
        <v>37103.099000000009</v>
      </c>
      <c r="I6" s="32">
        <v>864</v>
      </c>
      <c r="J6" s="19">
        <v>7000</v>
      </c>
      <c r="K6" s="19">
        <f t="shared" si="1"/>
        <v>44967.099000000009</v>
      </c>
    </row>
    <row r="7" spans="1:12" ht="51" customHeight="1" x14ac:dyDescent="0.3">
      <c r="A7" s="15">
        <v>11</v>
      </c>
      <c r="B7" s="17" t="s">
        <v>6</v>
      </c>
      <c r="C7" s="27">
        <v>104750</v>
      </c>
      <c r="D7" s="18">
        <v>91.537000000000006</v>
      </c>
      <c r="E7" s="18">
        <v>114.56100000000001</v>
      </c>
      <c r="F7" s="18">
        <f t="shared" si="0"/>
        <v>23.024000000000001</v>
      </c>
      <c r="G7" s="18">
        <v>2197.4</v>
      </c>
      <c r="H7" s="19">
        <f t="shared" si="2"/>
        <v>50592.937600000005</v>
      </c>
      <c r="I7" s="32">
        <v>864</v>
      </c>
      <c r="J7" s="19">
        <v>7000</v>
      </c>
      <c r="K7" s="19">
        <f t="shared" si="1"/>
        <v>58456.937600000005</v>
      </c>
    </row>
    <row r="8" spans="1:12" ht="51" customHeight="1" x14ac:dyDescent="0.3">
      <c r="A8" s="15">
        <v>12</v>
      </c>
      <c r="B8" s="17" t="s">
        <v>7</v>
      </c>
      <c r="C8" s="27">
        <v>104761</v>
      </c>
      <c r="D8" s="18">
        <v>3.0659999999999998</v>
      </c>
      <c r="E8" s="18">
        <v>3.9750000000000001</v>
      </c>
      <c r="F8" s="18">
        <f t="shared" si="0"/>
        <v>0.90900000000000025</v>
      </c>
      <c r="G8" s="18">
        <v>2197.4</v>
      </c>
      <c r="H8" s="19">
        <f t="shared" si="2"/>
        <v>1997.4366000000007</v>
      </c>
      <c r="I8" s="32">
        <v>864</v>
      </c>
      <c r="J8" s="19">
        <v>7000</v>
      </c>
      <c r="K8" s="19">
        <f t="shared" si="1"/>
        <v>9861.4366000000009</v>
      </c>
    </row>
    <row r="9" spans="1:12" ht="51" customHeight="1" x14ac:dyDescent="0.3">
      <c r="A9" s="15">
        <v>13</v>
      </c>
      <c r="B9" s="17" t="s">
        <v>8</v>
      </c>
      <c r="C9" s="27">
        <v>106226</v>
      </c>
      <c r="D9" s="18">
        <v>26.526</v>
      </c>
      <c r="E9" s="18">
        <v>32.47</v>
      </c>
      <c r="F9" s="18">
        <f t="shared" si="0"/>
        <v>5.9439999999999991</v>
      </c>
      <c r="G9" s="18">
        <v>2197.4</v>
      </c>
      <c r="H9" s="19">
        <f t="shared" si="2"/>
        <v>13061.345599999999</v>
      </c>
      <c r="I9" s="32">
        <v>864</v>
      </c>
      <c r="J9" s="19">
        <v>7000</v>
      </c>
      <c r="K9" s="19">
        <f>H9+I9+J9-360</f>
        <v>20565.345600000001</v>
      </c>
      <c r="L9" s="13"/>
    </row>
    <row r="10" spans="1:12" ht="51" customHeight="1" x14ac:dyDescent="0.3">
      <c r="A10" s="15">
        <v>14</v>
      </c>
      <c r="B10" s="17" t="s">
        <v>9</v>
      </c>
      <c r="C10" s="27">
        <v>104746</v>
      </c>
      <c r="D10" s="18">
        <v>37.643000000000001</v>
      </c>
      <c r="E10" s="18">
        <v>46.597999999999999</v>
      </c>
      <c r="F10" s="18">
        <f t="shared" si="0"/>
        <v>8.9549999999999983</v>
      </c>
      <c r="G10" s="18">
        <v>2197.4</v>
      </c>
      <c r="H10" s="19">
        <f t="shared" si="2"/>
        <v>19677.716999999997</v>
      </c>
      <c r="I10" s="32">
        <v>864</v>
      </c>
      <c r="J10" s="19">
        <v>7000</v>
      </c>
      <c r="K10" s="19">
        <f>H10+I10+J10+245</f>
        <v>27786.716999999997</v>
      </c>
      <c r="L10" s="13"/>
    </row>
    <row r="11" spans="1:12" ht="51" customHeight="1" x14ac:dyDescent="0.3">
      <c r="A11" s="15">
        <v>15</v>
      </c>
      <c r="B11" s="17" t="s">
        <v>10</v>
      </c>
      <c r="C11" s="27">
        <v>104744</v>
      </c>
      <c r="D11" s="18">
        <v>20.446999999999999</v>
      </c>
      <c r="E11" s="18">
        <v>27.071999999999999</v>
      </c>
      <c r="F11" s="18">
        <f t="shared" si="0"/>
        <v>6.625</v>
      </c>
      <c r="G11" s="18">
        <v>2197.4</v>
      </c>
      <c r="H11" s="19">
        <f t="shared" si="2"/>
        <v>14557.775000000001</v>
      </c>
      <c r="I11" s="32">
        <v>864</v>
      </c>
      <c r="J11" s="19">
        <v>7000</v>
      </c>
      <c r="K11" s="19">
        <f t="shared" si="1"/>
        <v>22421.775000000001</v>
      </c>
    </row>
    <row r="12" spans="1:12" ht="51" customHeight="1" x14ac:dyDescent="0.3">
      <c r="A12" s="15">
        <v>16</v>
      </c>
      <c r="B12" s="17" t="s">
        <v>11</v>
      </c>
      <c r="C12" s="27">
        <v>104747</v>
      </c>
      <c r="D12" s="18">
        <v>74.754999999999995</v>
      </c>
      <c r="E12" s="18">
        <v>86.147999999999996</v>
      </c>
      <c r="F12" s="18">
        <f t="shared" si="0"/>
        <v>11.393000000000001</v>
      </c>
      <c r="G12" s="18">
        <v>2197.4</v>
      </c>
      <c r="H12" s="19">
        <f t="shared" si="2"/>
        <v>25034.978200000001</v>
      </c>
      <c r="I12" s="32">
        <v>864</v>
      </c>
      <c r="J12" s="19">
        <v>7000</v>
      </c>
      <c r="K12" s="19">
        <f t="shared" si="1"/>
        <v>32898.978199999998</v>
      </c>
    </row>
    <row r="13" spans="1:12" ht="51" customHeight="1" x14ac:dyDescent="0.3">
      <c r="A13" s="15">
        <v>17</v>
      </c>
      <c r="B13" s="17" t="s">
        <v>12</v>
      </c>
      <c r="C13" s="27">
        <v>104748</v>
      </c>
      <c r="D13" s="18">
        <v>10.381</v>
      </c>
      <c r="E13" s="18">
        <v>13.272</v>
      </c>
      <c r="F13" s="18">
        <f t="shared" si="0"/>
        <v>2.891</v>
      </c>
      <c r="G13" s="18">
        <v>2197.4</v>
      </c>
      <c r="H13" s="19">
        <f t="shared" si="2"/>
        <v>6352.6833999999999</v>
      </c>
      <c r="I13" s="32">
        <v>864</v>
      </c>
      <c r="J13" s="19">
        <v>7000</v>
      </c>
      <c r="K13" s="19">
        <f t="shared" si="1"/>
        <v>14216.6834</v>
      </c>
    </row>
    <row r="14" spans="1:12" ht="51" customHeight="1" x14ac:dyDescent="0.3">
      <c r="A14" s="15">
        <v>18</v>
      </c>
      <c r="B14" s="17" t="s">
        <v>57</v>
      </c>
      <c r="C14" s="27">
        <v>104770</v>
      </c>
      <c r="D14" s="18">
        <v>27.488</v>
      </c>
      <c r="E14" s="18">
        <v>33.877000000000002</v>
      </c>
      <c r="F14" s="18">
        <f t="shared" si="0"/>
        <v>6.3890000000000029</v>
      </c>
      <c r="G14" s="18">
        <v>2197.4</v>
      </c>
      <c r="H14" s="19">
        <f t="shared" si="2"/>
        <v>14039.188600000007</v>
      </c>
      <c r="I14" s="32">
        <v>864</v>
      </c>
      <c r="J14" s="19">
        <v>7000</v>
      </c>
      <c r="K14" s="19">
        <f t="shared" si="1"/>
        <v>21903.188600000009</v>
      </c>
    </row>
    <row r="15" spans="1:12" ht="51" customHeight="1" x14ac:dyDescent="0.3">
      <c r="A15" s="15">
        <v>19</v>
      </c>
      <c r="B15" s="17" t="s">
        <v>13</v>
      </c>
      <c r="C15" s="27">
        <v>104741</v>
      </c>
      <c r="D15" s="18">
        <v>6.3040000000000003</v>
      </c>
      <c r="E15" s="18">
        <v>7.319</v>
      </c>
      <c r="F15" s="18">
        <f t="shared" si="0"/>
        <v>1.0149999999999997</v>
      </c>
      <c r="G15" s="18">
        <v>2197.4</v>
      </c>
      <c r="H15" s="19">
        <f t="shared" si="2"/>
        <v>2230.3609999999994</v>
      </c>
      <c r="I15" s="32">
        <v>864</v>
      </c>
      <c r="J15" s="19">
        <v>7000</v>
      </c>
      <c r="K15" s="19">
        <f t="shared" si="1"/>
        <v>10094.360999999999</v>
      </c>
    </row>
    <row r="16" spans="1:12" ht="51" customHeight="1" x14ac:dyDescent="0.3">
      <c r="A16" s="15">
        <v>20</v>
      </c>
      <c r="B16" s="17" t="s">
        <v>14</v>
      </c>
      <c r="C16" s="27">
        <v>106223</v>
      </c>
      <c r="D16" s="18">
        <v>20.788</v>
      </c>
      <c r="E16" s="18">
        <v>25.231000000000002</v>
      </c>
      <c r="F16" s="18">
        <f t="shared" si="0"/>
        <v>4.4430000000000014</v>
      </c>
      <c r="G16" s="18">
        <v>2197.4</v>
      </c>
      <c r="H16" s="19">
        <f t="shared" si="2"/>
        <v>9763.0482000000029</v>
      </c>
      <c r="I16" s="32">
        <v>864</v>
      </c>
      <c r="J16" s="19">
        <v>7000</v>
      </c>
      <c r="K16" s="19">
        <f t="shared" si="1"/>
        <v>17627.048200000005</v>
      </c>
    </row>
    <row r="17" spans="1:11" ht="51" customHeight="1" x14ac:dyDescent="0.3">
      <c r="A17" s="15">
        <v>21</v>
      </c>
      <c r="B17" s="17" t="s">
        <v>15</v>
      </c>
      <c r="C17" s="27">
        <v>106230</v>
      </c>
      <c r="D17" s="18">
        <v>11.798</v>
      </c>
      <c r="E17" s="18">
        <v>11.8</v>
      </c>
      <c r="F17" s="18">
        <f t="shared" si="0"/>
        <v>2.0000000000006679E-3</v>
      </c>
      <c r="G17" s="18">
        <v>2197.4</v>
      </c>
      <c r="H17" s="19">
        <f t="shared" si="2"/>
        <v>4.3948000000014682</v>
      </c>
      <c r="I17" s="32">
        <v>864</v>
      </c>
      <c r="J17" s="19">
        <v>7000</v>
      </c>
      <c r="K17" s="19">
        <f t="shared" si="1"/>
        <v>7868.3948000000019</v>
      </c>
    </row>
    <row r="18" spans="1:11" ht="51" customHeight="1" x14ac:dyDescent="0.3">
      <c r="A18" s="15">
        <v>22</v>
      </c>
      <c r="B18" s="17" t="s">
        <v>16</v>
      </c>
      <c r="C18" s="27">
        <v>106136</v>
      </c>
      <c r="D18" s="18">
        <v>7.4039999999999999</v>
      </c>
      <c r="E18" s="18">
        <v>8.5020000000000007</v>
      </c>
      <c r="F18" s="18">
        <f t="shared" si="0"/>
        <v>1.0980000000000008</v>
      </c>
      <c r="G18" s="18">
        <v>2197.4</v>
      </c>
      <c r="H18" s="19">
        <f t="shared" si="2"/>
        <v>2412.7452000000017</v>
      </c>
      <c r="I18" s="32">
        <v>864</v>
      </c>
      <c r="J18" s="19">
        <v>7000</v>
      </c>
      <c r="K18" s="19">
        <f t="shared" si="1"/>
        <v>10276.745200000001</v>
      </c>
    </row>
    <row r="19" spans="1:11" ht="51" customHeight="1" x14ac:dyDescent="0.3">
      <c r="A19" s="15">
        <v>23</v>
      </c>
      <c r="B19" s="17" t="s">
        <v>17</v>
      </c>
      <c r="C19" s="27">
        <v>106225</v>
      </c>
      <c r="D19" s="18">
        <v>1.276</v>
      </c>
      <c r="E19" s="18">
        <v>1.3220000000000001</v>
      </c>
      <c r="F19" s="18">
        <f t="shared" si="0"/>
        <v>4.6000000000000041E-2</v>
      </c>
      <c r="G19" s="18">
        <v>2197.4</v>
      </c>
      <c r="H19" s="19">
        <f t="shared" si="2"/>
        <v>101.0804000000001</v>
      </c>
      <c r="I19" s="32">
        <v>864</v>
      </c>
      <c r="J19" s="19">
        <v>7000</v>
      </c>
      <c r="K19" s="19">
        <f t="shared" si="1"/>
        <v>7965.0803999999998</v>
      </c>
    </row>
    <row r="20" spans="1:11" ht="51" customHeight="1" x14ac:dyDescent="0.3">
      <c r="A20" s="15">
        <v>25</v>
      </c>
      <c r="B20" s="17" t="s">
        <v>18</v>
      </c>
      <c r="C20" s="27">
        <v>104745</v>
      </c>
      <c r="D20" s="18">
        <v>49.656999999999996</v>
      </c>
      <c r="E20" s="18">
        <v>63.957000000000001</v>
      </c>
      <c r="F20" s="18">
        <f t="shared" si="0"/>
        <v>14.300000000000004</v>
      </c>
      <c r="G20" s="18">
        <v>2197.4</v>
      </c>
      <c r="H20" s="19">
        <f t="shared" si="2"/>
        <v>31422.820000000011</v>
      </c>
      <c r="I20" s="32">
        <v>864</v>
      </c>
      <c r="J20" s="19">
        <v>7000</v>
      </c>
      <c r="K20" s="19">
        <f t="shared" si="1"/>
        <v>39286.820000000007</v>
      </c>
    </row>
    <row r="21" spans="1:11" ht="51" customHeight="1" x14ac:dyDescent="0.3">
      <c r="A21" s="15">
        <v>26</v>
      </c>
      <c r="B21" s="17" t="s">
        <v>19</v>
      </c>
      <c r="C21" s="27">
        <v>104743</v>
      </c>
      <c r="D21" s="18">
        <v>76.561000000000007</v>
      </c>
      <c r="E21" s="18">
        <v>84.747</v>
      </c>
      <c r="F21" s="18">
        <f t="shared" si="0"/>
        <v>8.1859999999999928</v>
      </c>
      <c r="G21" s="18">
        <v>2197.4</v>
      </c>
      <c r="H21" s="19">
        <f t="shared" si="2"/>
        <v>17987.916399999984</v>
      </c>
      <c r="I21" s="32">
        <v>864</v>
      </c>
      <c r="J21" s="19">
        <v>7000</v>
      </c>
      <c r="K21" s="19">
        <f t="shared" si="1"/>
        <v>25851.916399999984</v>
      </c>
    </row>
    <row r="22" spans="1:11" ht="51" customHeight="1" x14ac:dyDescent="0.3">
      <c r="A22" s="15">
        <v>27</v>
      </c>
      <c r="B22" s="17" t="s">
        <v>20</v>
      </c>
      <c r="C22" s="27">
        <v>104749</v>
      </c>
      <c r="D22" s="18">
        <v>19.814</v>
      </c>
      <c r="E22" s="18">
        <v>30.704999999999998</v>
      </c>
      <c r="F22" s="18">
        <f t="shared" si="0"/>
        <v>10.890999999999998</v>
      </c>
      <c r="G22" s="18">
        <v>2197.4</v>
      </c>
      <c r="H22" s="19">
        <f t="shared" si="2"/>
        <v>23931.883399999999</v>
      </c>
      <c r="I22" s="32">
        <v>864</v>
      </c>
      <c r="J22" s="19">
        <v>7000</v>
      </c>
      <c r="K22" s="19">
        <f t="shared" si="1"/>
        <v>31795.883399999999</v>
      </c>
    </row>
    <row r="23" spans="1:11" s="2" customFormat="1" ht="51" customHeight="1" x14ac:dyDescent="0.3">
      <c r="A23" s="15">
        <v>28</v>
      </c>
      <c r="B23" s="17" t="s">
        <v>21</v>
      </c>
      <c r="C23" s="27">
        <v>104742</v>
      </c>
      <c r="D23" s="18">
        <v>5.915</v>
      </c>
      <c r="E23" s="18">
        <v>7.4480000000000004</v>
      </c>
      <c r="F23" s="18">
        <f t="shared" si="0"/>
        <v>1.5330000000000004</v>
      </c>
      <c r="G23" s="18">
        <v>2197.4</v>
      </c>
      <c r="H23" s="19">
        <f t="shared" si="2"/>
        <v>3368.6142000000009</v>
      </c>
      <c r="I23" s="32">
        <v>864</v>
      </c>
      <c r="J23" s="19">
        <v>7000</v>
      </c>
      <c r="K23" s="19">
        <f t="shared" si="1"/>
        <v>11232.6142</v>
      </c>
    </row>
    <row r="24" spans="1:11" s="2" customFormat="1" ht="51" customHeight="1" x14ac:dyDescent="0.3">
      <c r="A24" s="15">
        <v>73</v>
      </c>
      <c r="B24" s="17" t="s">
        <v>33</v>
      </c>
      <c r="C24" s="27">
        <v>106221</v>
      </c>
      <c r="D24" s="18">
        <v>24.989000000000001</v>
      </c>
      <c r="E24" s="18">
        <v>29.791</v>
      </c>
      <c r="F24" s="18">
        <f t="shared" si="0"/>
        <v>4.8019999999999996</v>
      </c>
      <c r="G24" s="18">
        <v>2197.4</v>
      </c>
      <c r="H24" s="19">
        <f t="shared" si="2"/>
        <v>10551.9148</v>
      </c>
      <c r="I24" s="32">
        <v>864</v>
      </c>
      <c r="J24" s="19">
        <v>7000</v>
      </c>
      <c r="K24" s="19">
        <f t="shared" si="1"/>
        <v>18415.914799999999</v>
      </c>
    </row>
    <row r="25" spans="1:11" s="2" customFormat="1" ht="51" customHeight="1" x14ac:dyDescent="0.3">
      <c r="A25" s="15">
        <v>74</v>
      </c>
      <c r="B25" s="18" t="s">
        <v>34</v>
      </c>
      <c r="C25" s="27">
        <v>106229</v>
      </c>
      <c r="D25" s="18">
        <v>17.241</v>
      </c>
      <c r="E25" s="18">
        <v>19.742999999999999</v>
      </c>
      <c r="F25" s="18">
        <f t="shared" si="0"/>
        <v>2.5019999999999989</v>
      </c>
      <c r="G25" s="18">
        <v>2197.4</v>
      </c>
      <c r="H25" s="19">
        <f t="shared" si="2"/>
        <v>5497.8947999999982</v>
      </c>
      <c r="I25" s="32">
        <v>864</v>
      </c>
      <c r="J25" s="19">
        <v>7000</v>
      </c>
      <c r="K25" s="19">
        <f t="shared" si="1"/>
        <v>13361.894799999998</v>
      </c>
    </row>
    <row r="26" spans="1:11" s="2" customFormat="1" ht="51" customHeight="1" x14ac:dyDescent="0.3">
      <c r="A26" s="15">
        <v>75</v>
      </c>
      <c r="B26" s="17" t="s">
        <v>40</v>
      </c>
      <c r="C26" s="27">
        <v>106135</v>
      </c>
      <c r="D26" s="18">
        <v>0.159</v>
      </c>
      <c r="E26" s="18">
        <v>0.159</v>
      </c>
      <c r="F26" s="18">
        <f t="shared" si="0"/>
        <v>0</v>
      </c>
      <c r="G26" s="18">
        <v>2197.4</v>
      </c>
      <c r="H26" s="19">
        <f t="shared" si="2"/>
        <v>0</v>
      </c>
      <c r="I26" s="32">
        <v>864</v>
      </c>
      <c r="J26" s="19"/>
      <c r="K26" s="19">
        <f t="shared" si="1"/>
        <v>864</v>
      </c>
    </row>
    <row r="27" spans="1:11" s="2" customFormat="1" ht="51" customHeight="1" x14ac:dyDescent="0.3">
      <c r="A27" s="15">
        <v>76</v>
      </c>
      <c r="B27" s="20" t="s">
        <v>35</v>
      </c>
      <c r="C27" s="27">
        <v>106137</v>
      </c>
      <c r="D27" s="18">
        <v>7.9370000000000003</v>
      </c>
      <c r="E27" s="18">
        <v>9.5129999999999999</v>
      </c>
      <c r="F27" s="18">
        <f t="shared" si="0"/>
        <v>1.5759999999999996</v>
      </c>
      <c r="G27" s="18">
        <v>2197.4</v>
      </c>
      <c r="H27" s="19">
        <f t="shared" si="2"/>
        <v>3463.1023999999993</v>
      </c>
      <c r="I27" s="32">
        <v>864</v>
      </c>
      <c r="J27" s="19">
        <v>7000</v>
      </c>
      <c r="K27" s="19">
        <f t="shared" si="1"/>
        <v>11327.1024</v>
      </c>
    </row>
    <row r="28" spans="1:11" s="2" customFormat="1" ht="51" customHeight="1" x14ac:dyDescent="0.3">
      <c r="A28" s="15">
        <v>77</v>
      </c>
      <c r="B28" s="21" t="s">
        <v>36</v>
      </c>
      <c r="C28" s="27">
        <v>106140</v>
      </c>
      <c r="D28" s="18">
        <v>27.047000000000001</v>
      </c>
      <c r="E28" s="18">
        <v>30.501999999999999</v>
      </c>
      <c r="F28" s="18">
        <f t="shared" si="0"/>
        <v>3.4549999999999983</v>
      </c>
      <c r="G28" s="18">
        <v>2197.4</v>
      </c>
      <c r="H28" s="19">
        <f t="shared" si="2"/>
        <v>7592.0169999999962</v>
      </c>
      <c r="I28" s="32">
        <v>864</v>
      </c>
      <c r="J28" s="19">
        <v>7000</v>
      </c>
      <c r="K28" s="19">
        <f t="shared" si="1"/>
        <v>15456.016999999996</v>
      </c>
    </row>
    <row r="29" spans="1:11" s="2" customFormat="1" ht="51" customHeight="1" x14ac:dyDescent="0.3">
      <c r="A29" s="15">
        <v>78</v>
      </c>
      <c r="B29" s="20" t="s">
        <v>37</v>
      </c>
      <c r="C29" s="27">
        <v>106228</v>
      </c>
      <c r="D29" s="18">
        <v>20.899000000000001</v>
      </c>
      <c r="E29" s="18">
        <v>23.805</v>
      </c>
      <c r="F29" s="18">
        <f t="shared" si="0"/>
        <v>2.9059999999999988</v>
      </c>
      <c r="G29" s="18">
        <v>2197.4</v>
      </c>
      <c r="H29" s="19">
        <f t="shared" si="2"/>
        <v>6385.6443999999974</v>
      </c>
      <c r="I29" s="32">
        <v>864</v>
      </c>
      <c r="J29" s="19">
        <v>7000</v>
      </c>
      <c r="K29" s="19">
        <f t="shared" si="1"/>
        <v>14249.644399999997</v>
      </c>
    </row>
    <row r="30" spans="1:11" s="2" customFormat="1" ht="51" customHeight="1" x14ac:dyDescent="0.3">
      <c r="A30" s="15">
        <v>79</v>
      </c>
      <c r="B30" s="18" t="s">
        <v>42</v>
      </c>
      <c r="C30" s="27">
        <v>106139</v>
      </c>
      <c r="D30" s="18">
        <v>25.196000000000002</v>
      </c>
      <c r="E30" s="18">
        <v>30.321000000000002</v>
      </c>
      <c r="F30" s="18">
        <f t="shared" si="0"/>
        <v>5.125</v>
      </c>
      <c r="G30" s="18">
        <v>2197.4</v>
      </c>
      <c r="H30" s="19">
        <f t="shared" si="2"/>
        <v>11261.675000000001</v>
      </c>
      <c r="I30" s="32">
        <v>864</v>
      </c>
      <c r="J30" s="19">
        <v>7000</v>
      </c>
      <c r="K30" s="19">
        <f t="shared" si="1"/>
        <v>19125.675000000003</v>
      </c>
    </row>
    <row r="31" spans="1:11" s="2" customFormat="1" ht="51" customHeight="1" x14ac:dyDescent="0.3">
      <c r="A31" s="15">
        <v>80</v>
      </c>
      <c r="B31" s="20" t="s">
        <v>38</v>
      </c>
      <c r="C31" s="27">
        <v>106227</v>
      </c>
      <c r="D31" s="18">
        <v>27.541</v>
      </c>
      <c r="E31" s="18">
        <v>33.237000000000002</v>
      </c>
      <c r="F31" s="18">
        <f t="shared" si="0"/>
        <v>5.6960000000000015</v>
      </c>
      <c r="G31" s="18">
        <v>2197.4</v>
      </c>
      <c r="H31" s="19">
        <f t="shared" si="2"/>
        <v>12516.390400000004</v>
      </c>
      <c r="I31" s="32">
        <v>864</v>
      </c>
      <c r="J31" s="19">
        <v>7000</v>
      </c>
      <c r="K31" s="19">
        <f t="shared" si="1"/>
        <v>20380.390400000004</v>
      </c>
    </row>
    <row r="32" spans="1:11" s="2" customFormat="1" ht="51" customHeight="1" x14ac:dyDescent="0.3">
      <c r="A32" s="15">
        <v>81</v>
      </c>
      <c r="B32" s="17" t="s">
        <v>41</v>
      </c>
      <c r="C32" s="27">
        <v>106131</v>
      </c>
      <c r="D32" s="18">
        <v>44.792999999999999</v>
      </c>
      <c r="E32" s="18">
        <v>53.5</v>
      </c>
      <c r="F32" s="18">
        <f t="shared" si="0"/>
        <v>8.7070000000000007</v>
      </c>
      <c r="G32" s="18">
        <v>2197.4</v>
      </c>
      <c r="H32" s="19">
        <f t="shared" si="2"/>
        <v>19132.761800000004</v>
      </c>
      <c r="I32" s="32">
        <v>864</v>
      </c>
      <c r="J32" s="19">
        <v>7000</v>
      </c>
      <c r="K32" s="19">
        <f t="shared" si="1"/>
        <v>26996.761800000004</v>
      </c>
    </row>
    <row r="33" spans="1:12" s="2" customFormat="1" ht="51" customHeight="1" x14ac:dyDescent="0.3">
      <c r="A33" s="15">
        <v>82</v>
      </c>
      <c r="B33" s="20" t="s">
        <v>39</v>
      </c>
      <c r="C33" s="27">
        <v>106138</v>
      </c>
      <c r="D33" s="18">
        <v>6.7110000000000003</v>
      </c>
      <c r="E33" s="18">
        <v>9.2119999999999997</v>
      </c>
      <c r="F33" s="18">
        <f t="shared" si="0"/>
        <v>2.5009999999999994</v>
      </c>
      <c r="G33" s="18">
        <v>2197.4</v>
      </c>
      <c r="H33" s="19">
        <f t="shared" si="2"/>
        <v>5495.6973999999991</v>
      </c>
      <c r="I33" s="32">
        <v>864</v>
      </c>
      <c r="J33" s="19">
        <v>7000</v>
      </c>
      <c r="K33" s="19">
        <f t="shared" si="1"/>
        <v>13359.697399999999</v>
      </c>
    </row>
    <row r="34" spans="1:12" s="2" customFormat="1" ht="51" customHeight="1" x14ac:dyDescent="0.3">
      <c r="A34" s="15">
        <v>83</v>
      </c>
      <c r="B34" s="33" t="s">
        <v>22</v>
      </c>
      <c r="C34" s="34">
        <v>106222</v>
      </c>
      <c r="D34" s="22">
        <v>17.57</v>
      </c>
      <c r="E34" s="22">
        <v>20.696000000000002</v>
      </c>
      <c r="F34" s="22">
        <f t="shared" si="0"/>
        <v>3.1260000000000012</v>
      </c>
      <c r="G34" s="22">
        <v>2197.4</v>
      </c>
      <c r="H34" s="35">
        <f t="shared" si="2"/>
        <v>6869.0724000000027</v>
      </c>
      <c r="I34" s="36">
        <v>864</v>
      </c>
      <c r="J34" s="35">
        <v>7000</v>
      </c>
      <c r="K34" s="35">
        <f t="shared" si="1"/>
        <v>14733.072400000003</v>
      </c>
    </row>
    <row r="35" spans="1:12" s="2" customFormat="1" ht="51" customHeight="1" x14ac:dyDescent="0.3">
      <c r="A35" s="15">
        <v>84</v>
      </c>
      <c r="B35" s="17" t="s">
        <v>28</v>
      </c>
      <c r="C35" s="27">
        <v>106123</v>
      </c>
      <c r="D35" s="18">
        <v>15.106</v>
      </c>
      <c r="E35" s="18">
        <v>18.515000000000001</v>
      </c>
      <c r="F35" s="18">
        <f t="shared" si="0"/>
        <v>3.4090000000000007</v>
      </c>
      <c r="G35" s="18">
        <v>2197.4</v>
      </c>
      <c r="H35" s="19">
        <f t="shared" si="2"/>
        <v>7490.9366000000018</v>
      </c>
      <c r="I35" s="32">
        <v>864</v>
      </c>
      <c r="J35" s="19">
        <v>7000</v>
      </c>
      <c r="K35" s="19">
        <f t="shared" si="1"/>
        <v>15354.936600000001</v>
      </c>
    </row>
    <row r="36" spans="1:12" ht="51" customHeight="1" x14ac:dyDescent="0.3">
      <c r="A36" s="15">
        <v>85</v>
      </c>
      <c r="B36" s="17" t="s">
        <v>27</v>
      </c>
      <c r="C36" s="27">
        <v>106134</v>
      </c>
      <c r="D36" s="18">
        <v>56.207999999999998</v>
      </c>
      <c r="E36" s="18">
        <v>71.814999999999998</v>
      </c>
      <c r="F36" s="18">
        <f t="shared" si="0"/>
        <v>15.606999999999999</v>
      </c>
      <c r="G36" s="18">
        <v>2197.4</v>
      </c>
      <c r="H36" s="19">
        <f t="shared" si="2"/>
        <v>34294.821799999998</v>
      </c>
      <c r="I36" s="32">
        <v>864</v>
      </c>
      <c r="J36" s="19">
        <v>7000</v>
      </c>
      <c r="K36" s="19">
        <f t="shared" si="1"/>
        <v>42158.821799999998</v>
      </c>
      <c r="L36" s="2"/>
    </row>
    <row r="37" spans="1:12" ht="51" customHeight="1" x14ac:dyDescent="0.3">
      <c r="A37" s="15">
        <v>86</v>
      </c>
      <c r="B37" s="17" t="s">
        <v>26</v>
      </c>
      <c r="C37" s="27">
        <v>106125</v>
      </c>
      <c r="D37" s="18">
        <v>24.65</v>
      </c>
      <c r="E37" s="18">
        <v>32.555</v>
      </c>
      <c r="F37" s="18">
        <f t="shared" si="0"/>
        <v>7.9050000000000011</v>
      </c>
      <c r="G37" s="18">
        <v>2197.4</v>
      </c>
      <c r="H37" s="19">
        <f t="shared" si="2"/>
        <v>17370.447000000004</v>
      </c>
      <c r="I37" s="32">
        <v>864</v>
      </c>
      <c r="J37" s="19">
        <v>7000</v>
      </c>
      <c r="K37" s="19">
        <f t="shared" si="1"/>
        <v>25234.447000000004</v>
      </c>
    </row>
    <row r="38" spans="1:12" ht="51" customHeight="1" x14ac:dyDescent="0.3">
      <c r="A38" s="15">
        <v>87</v>
      </c>
      <c r="B38" s="17" t="s">
        <v>25</v>
      </c>
      <c r="C38" s="27">
        <v>106133</v>
      </c>
      <c r="D38" s="18">
        <v>20.82</v>
      </c>
      <c r="E38" s="18">
        <v>27.887</v>
      </c>
      <c r="F38" s="18">
        <f t="shared" si="0"/>
        <v>7.0670000000000002</v>
      </c>
      <c r="G38" s="18">
        <v>2197.4</v>
      </c>
      <c r="H38" s="19">
        <f t="shared" si="2"/>
        <v>15529.025800000001</v>
      </c>
      <c r="I38" s="32">
        <v>864</v>
      </c>
      <c r="J38" s="19">
        <v>7000</v>
      </c>
      <c r="K38" s="19">
        <f t="shared" si="1"/>
        <v>23393.025800000003</v>
      </c>
      <c r="L38" s="2"/>
    </row>
    <row r="39" spans="1:12" ht="51" customHeight="1" x14ac:dyDescent="0.3">
      <c r="A39" s="15">
        <v>88</v>
      </c>
      <c r="B39" s="17" t="s">
        <v>44</v>
      </c>
      <c r="C39" s="27">
        <v>106127</v>
      </c>
      <c r="D39" s="18">
        <v>38.603000000000002</v>
      </c>
      <c r="E39" s="18">
        <v>47.441000000000003</v>
      </c>
      <c r="F39" s="18">
        <f t="shared" si="0"/>
        <v>8.838000000000001</v>
      </c>
      <c r="G39" s="18">
        <v>2197.4</v>
      </c>
      <c r="H39" s="19">
        <f t="shared" si="2"/>
        <v>19420.621200000001</v>
      </c>
      <c r="I39" s="32">
        <v>864</v>
      </c>
      <c r="J39" s="19">
        <v>7000</v>
      </c>
      <c r="K39" s="19">
        <f t="shared" si="1"/>
        <v>27284.621200000001</v>
      </c>
    </row>
    <row r="40" spans="1:12" ht="51" customHeight="1" x14ac:dyDescent="0.3">
      <c r="A40" s="15">
        <v>89</v>
      </c>
      <c r="B40" s="17" t="s">
        <v>24</v>
      </c>
      <c r="C40" s="27">
        <v>106128</v>
      </c>
      <c r="D40" s="18">
        <v>59.554000000000002</v>
      </c>
      <c r="E40" s="18">
        <v>72.289000000000001</v>
      </c>
      <c r="F40" s="18">
        <f t="shared" si="0"/>
        <v>12.734999999999999</v>
      </c>
      <c r="G40" s="18">
        <v>2197.4</v>
      </c>
      <c r="H40" s="19">
        <f t="shared" si="2"/>
        <v>27983.888999999999</v>
      </c>
      <c r="I40" s="32">
        <v>864</v>
      </c>
      <c r="J40" s="19">
        <v>7000</v>
      </c>
      <c r="K40" s="19">
        <f t="shared" si="1"/>
        <v>35847.888999999996</v>
      </c>
      <c r="L40" s="2"/>
    </row>
    <row r="41" spans="1:12" ht="51" customHeight="1" x14ac:dyDescent="0.3">
      <c r="A41" s="15">
        <v>90</v>
      </c>
      <c r="B41" s="17" t="s">
        <v>23</v>
      </c>
      <c r="C41" s="27">
        <v>106129</v>
      </c>
      <c r="D41" s="18">
        <v>11.598000000000001</v>
      </c>
      <c r="E41" s="18">
        <v>14.103</v>
      </c>
      <c r="F41" s="18">
        <f t="shared" si="0"/>
        <v>2.504999999999999</v>
      </c>
      <c r="G41" s="18">
        <v>2197.4</v>
      </c>
      <c r="H41" s="19">
        <f t="shared" si="2"/>
        <v>5504.4869999999983</v>
      </c>
      <c r="I41" s="32">
        <v>864</v>
      </c>
      <c r="J41" s="19">
        <v>7000</v>
      </c>
      <c r="K41" s="19">
        <f t="shared" si="1"/>
        <v>13368.486999999997</v>
      </c>
      <c r="L41" s="2"/>
    </row>
    <row r="42" spans="1:12" ht="51" customHeight="1" x14ac:dyDescent="0.3">
      <c r="A42" s="15">
        <v>91</v>
      </c>
      <c r="B42" s="18" t="s">
        <v>50</v>
      </c>
      <c r="C42" s="27">
        <v>106130</v>
      </c>
      <c r="D42" s="18">
        <v>33.578000000000003</v>
      </c>
      <c r="E42" s="18">
        <v>41.241999999999997</v>
      </c>
      <c r="F42" s="18">
        <f t="shared" si="0"/>
        <v>7.6639999999999944</v>
      </c>
      <c r="G42" s="18">
        <v>2197.4</v>
      </c>
      <c r="H42" s="19">
        <f t="shared" si="2"/>
        <v>16840.873599999988</v>
      </c>
      <c r="I42" s="32">
        <v>864</v>
      </c>
      <c r="J42" s="19">
        <v>7000</v>
      </c>
      <c r="K42" s="19">
        <f t="shared" si="1"/>
        <v>24704.873599999988</v>
      </c>
      <c r="L42" s="2"/>
    </row>
    <row r="43" spans="1:12" ht="51" customHeight="1" x14ac:dyDescent="0.3">
      <c r="A43" s="15">
        <v>92</v>
      </c>
      <c r="B43" s="17" t="s">
        <v>29</v>
      </c>
      <c r="C43" s="27">
        <v>106121</v>
      </c>
      <c r="D43" s="18">
        <v>2.11</v>
      </c>
      <c r="E43" s="18">
        <v>2.11</v>
      </c>
      <c r="F43" s="18">
        <f t="shared" si="0"/>
        <v>0</v>
      </c>
      <c r="G43" s="18">
        <v>2197.4</v>
      </c>
      <c r="H43" s="19">
        <f>F43*G43</f>
        <v>0</v>
      </c>
      <c r="I43" s="32">
        <v>864</v>
      </c>
      <c r="J43" s="19">
        <v>0</v>
      </c>
      <c r="K43" s="19">
        <f t="shared" si="1"/>
        <v>864</v>
      </c>
    </row>
    <row r="44" spans="1:12" ht="51" customHeight="1" x14ac:dyDescent="0.3">
      <c r="A44" s="15">
        <v>92</v>
      </c>
      <c r="B44" s="17" t="s">
        <v>30</v>
      </c>
      <c r="C44" s="27">
        <v>105148</v>
      </c>
      <c r="D44" s="18">
        <v>9.0210000000000008</v>
      </c>
      <c r="E44" s="18">
        <v>11.534000000000001</v>
      </c>
      <c r="F44" s="18">
        <f t="shared" si="0"/>
        <v>2.5129999999999999</v>
      </c>
      <c r="G44" s="18">
        <v>2197.4</v>
      </c>
      <c r="H44" s="19">
        <f t="shared" si="2"/>
        <v>5522.0662000000002</v>
      </c>
      <c r="I44" s="32">
        <v>864</v>
      </c>
      <c r="J44" s="19">
        <v>0</v>
      </c>
      <c r="K44" s="19">
        <f t="shared" si="1"/>
        <v>6386.0662000000002</v>
      </c>
    </row>
    <row r="45" spans="1:12" ht="51" customHeight="1" x14ac:dyDescent="0.3">
      <c r="A45" s="15">
        <v>29</v>
      </c>
      <c r="B45" s="17" t="s">
        <v>61</v>
      </c>
      <c r="C45" s="27">
        <v>105563</v>
      </c>
      <c r="D45" s="18">
        <v>0.124</v>
      </c>
      <c r="E45" s="18">
        <v>4.9459999999999997</v>
      </c>
      <c r="F45" s="18">
        <f>E45-D45</f>
        <v>4.8220000000000001</v>
      </c>
      <c r="G45" s="18">
        <v>2197.4</v>
      </c>
      <c r="H45" s="19">
        <f>F45*G45</f>
        <v>10595.862800000001</v>
      </c>
      <c r="I45" s="19">
        <v>9441</v>
      </c>
      <c r="J45" s="19">
        <v>0</v>
      </c>
      <c r="K45" s="32">
        <f>H45+I45+J45</f>
        <v>20036.862800000003</v>
      </c>
    </row>
    <row r="46" spans="1:12" ht="51" customHeight="1" x14ac:dyDescent="0.3">
      <c r="A46" s="15">
        <v>31</v>
      </c>
      <c r="B46" s="17" t="s">
        <v>62</v>
      </c>
      <c r="C46" s="27">
        <v>105567</v>
      </c>
      <c r="D46" s="18">
        <v>0.13100000000000001</v>
      </c>
      <c r="E46" s="18">
        <v>1.385</v>
      </c>
      <c r="F46" s="18">
        <f t="shared" ref="F46:F74" si="3">E46-D46</f>
        <v>1.254</v>
      </c>
      <c r="G46" s="18">
        <v>2197.4</v>
      </c>
      <c r="H46" s="19">
        <f t="shared" ref="H46:H71" si="4">F46*G46</f>
        <v>2755.5396000000001</v>
      </c>
      <c r="I46" s="19">
        <v>9441</v>
      </c>
      <c r="J46" s="19">
        <v>0</v>
      </c>
      <c r="K46" s="32">
        <f t="shared" ref="K46:K74" si="5">H46+I46+J46</f>
        <v>12196.5396</v>
      </c>
    </row>
    <row r="47" spans="1:12" ht="51" customHeight="1" x14ac:dyDescent="0.3">
      <c r="A47" s="15">
        <v>32</v>
      </c>
      <c r="B47" s="17" t="s">
        <v>63</v>
      </c>
      <c r="C47" s="27">
        <v>106175</v>
      </c>
      <c r="D47" s="18">
        <v>4.8559999999999999</v>
      </c>
      <c r="E47" s="18">
        <v>11.771000000000001</v>
      </c>
      <c r="F47" s="18">
        <f t="shared" si="3"/>
        <v>6.9150000000000009</v>
      </c>
      <c r="G47" s="18">
        <v>2197.4</v>
      </c>
      <c r="H47" s="19">
        <f t="shared" si="4"/>
        <v>15195.021000000002</v>
      </c>
      <c r="I47" s="19"/>
      <c r="J47" s="19">
        <v>0</v>
      </c>
      <c r="K47" s="32">
        <f t="shared" si="5"/>
        <v>15195.021000000002</v>
      </c>
    </row>
    <row r="48" spans="1:12" ht="51" customHeight="1" x14ac:dyDescent="0.3">
      <c r="A48" s="15">
        <v>33</v>
      </c>
      <c r="B48" s="17" t="s">
        <v>64</v>
      </c>
      <c r="C48" s="27">
        <v>105518</v>
      </c>
      <c r="D48" s="18">
        <v>2.2959999999999998</v>
      </c>
      <c r="E48" s="18">
        <v>6.266</v>
      </c>
      <c r="F48" s="18">
        <f t="shared" si="3"/>
        <v>3.97</v>
      </c>
      <c r="G48" s="18">
        <v>2197.4</v>
      </c>
      <c r="H48" s="19">
        <f t="shared" si="4"/>
        <v>8723.6779999999999</v>
      </c>
      <c r="I48" s="19"/>
      <c r="J48" s="19">
        <v>0</v>
      </c>
      <c r="K48" s="32">
        <f t="shared" si="5"/>
        <v>8723.6779999999999</v>
      </c>
    </row>
    <row r="49" spans="1:11" ht="51" customHeight="1" x14ac:dyDescent="0.3">
      <c r="A49" s="15">
        <v>34</v>
      </c>
      <c r="B49" s="17" t="s">
        <v>65</v>
      </c>
      <c r="C49" s="27">
        <v>105553</v>
      </c>
      <c r="D49" s="18">
        <v>6.4550000000000001</v>
      </c>
      <c r="E49" s="18">
        <v>11.007999999999999</v>
      </c>
      <c r="F49" s="18">
        <f t="shared" si="3"/>
        <v>4.552999999999999</v>
      </c>
      <c r="G49" s="18">
        <v>2197.4</v>
      </c>
      <c r="H49" s="19">
        <f t="shared" si="4"/>
        <v>10004.762199999999</v>
      </c>
      <c r="I49" s="19"/>
      <c r="J49" s="19">
        <v>0</v>
      </c>
      <c r="K49" s="32">
        <f t="shared" si="5"/>
        <v>10004.762199999999</v>
      </c>
    </row>
    <row r="50" spans="1:11" ht="51" customHeight="1" x14ac:dyDescent="0.3">
      <c r="A50" s="15">
        <v>36</v>
      </c>
      <c r="B50" s="17" t="s">
        <v>66</v>
      </c>
      <c r="C50" s="27">
        <v>105568</v>
      </c>
      <c r="D50" s="18">
        <v>0.20799999999999999</v>
      </c>
      <c r="E50" s="18">
        <v>1.855</v>
      </c>
      <c r="F50" s="18">
        <f t="shared" si="3"/>
        <v>1.647</v>
      </c>
      <c r="G50" s="18">
        <v>2197.4</v>
      </c>
      <c r="H50" s="19">
        <f t="shared" si="4"/>
        <v>3619.1178</v>
      </c>
      <c r="I50" s="19">
        <v>9441</v>
      </c>
      <c r="J50" s="19">
        <v>0</v>
      </c>
      <c r="K50" s="32">
        <f t="shared" si="5"/>
        <v>13060.1178</v>
      </c>
    </row>
    <row r="51" spans="1:11" ht="51" customHeight="1" x14ac:dyDescent="0.3">
      <c r="A51" s="15">
        <v>37</v>
      </c>
      <c r="B51" s="17" t="s">
        <v>67</v>
      </c>
      <c r="C51" s="27">
        <v>105552</v>
      </c>
      <c r="D51" s="18">
        <v>4.9039999999999999</v>
      </c>
      <c r="E51" s="18">
        <v>10.567</v>
      </c>
      <c r="F51" s="18">
        <f t="shared" si="3"/>
        <v>5.6630000000000003</v>
      </c>
      <c r="G51" s="18">
        <v>2197.4</v>
      </c>
      <c r="H51" s="19">
        <f t="shared" si="4"/>
        <v>12443.876200000001</v>
      </c>
      <c r="I51" s="19"/>
      <c r="J51" s="19">
        <v>0</v>
      </c>
      <c r="K51" s="32">
        <f t="shared" si="5"/>
        <v>12443.876200000001</v>
      </c>
    </row>
    <row r="52" spans="1:11" ht="51" customHeight="1" x14ac:dyDescent="0.3">
      <c r="A52" s="15">
        <v>38</v>
      </c>
      <c r="B52" s="17" t="s">
        <v>68</v>
      </c>
      <c r="C52" s="27">
        <v>105564</v>
      </c>
      <c r="D52" s="18">
        <v>0.13400000000000001</v>
      </c>
      <c r="E52" s="18">
        <v>2.54</v>
      </c>
      <c r="F52" s="18">
        <f t="shared" si="3"/>
        <v>2.4060000000000001</v>
      </c>
      <c r="G52" s="18">
        <v>2197.4</v>
      </c>
      <c r="H52" s="19">
        <f t="shared" si="4"/>
        <v>5286.9444000000003</v>
      </c>
      <c r="I52" s="19"/>
      <c r="J52" s="19">
        <v>0</v>
      </c>
      <c r="K52" s="32">
        <f t="shared" si="5"/>
        <v>5286.9444000000003</v>
      </c>
    </row>
    <row r="53" spans="1:11" ht="51" customHeight="1" x14ac:dyDescent="0.3">
      <c r="A53" s="15">
        <v>39</v>
      </c>
      <c r="B53" s="17" t="s">
        <v>69</v>
      </c>
      <c r="C53" s="27">
        <v>105551</v>
      </c>
      <c r="D53" s="18">
        <v>7.4489999999999998</v>
      </c>
      <c r="E53" s="18">
        <v>13.798</v>
      </c>
      <c r="F53" s="18">
        <f t="shared" si="3"/>
        <v>6.3490000000000002</v>
      </c>
      <c r="G53" s="18">
        <v>2197.4</v>
      </c>
      <c r="H53" s="19">
        <f t="shared" si="4"/>
        <v>13951.292600000001</v>
      </c>
      <c r="I53" s="19"/>
      <c r="J53" s="19">
        <v>0</v>
      </c>
      <c r="K53" s="32">
        <f t="shared" si="5"/>
        <v>13951.292600000001</v>
      </c>
    </row>
    <row r="54" spans="1:11" ht="51" customHeight="1" x14ac:dyDescent="0.3">
      <c r="A54" s="15">
        <v>40</v>
      </c>
      <c r="B54" s="17" t="s">
        <v>70</v>
      </c>
      <c r="C54" s="27">
        <v>105512</v>
      </c>
      <c r="D54" s="18">
        <v>4.3440000000000003</v>
      </c>
      <c r="E54" s="18">
        <v>8.9130000000000003</v>
      </c>
      <c r="F54" s="18">
        <f t="shared" si="3"/>
        <v>4.569</v>
      </c>
      <c r="G54" s="18">
        <v>2197.4</v>
      </c>
      <c r="H54" s="19">
        <f t="shared" si="4"/>
        <v>10039.920599999999</v>
      </c>
      <c r="I54" s="19">
        <v>9441</v>
      </c>
      <c r="J54" s="19">
        <v>0</v>
      </c>
      <c r="K54" s="32">
        <f t="shared" si="5"/>
        <v>19480.920599999998</v>
      </c>
    </row>
    <row r="55" spans="1:11" ht="51" customHeight="1" x14ac:dyDescent="0.3">
      <c r="A55" s="15">
        <v>41</v>
      </c>
      <c r="B55" s="17" t="s">
        <v>71</v>
      </c>
      <c r="C55" s="27">
        <v>105565</v>
      </c>
      <c r="D55" s="18">
        <v>0.13</v>
      </c>
      <c r="E55" s="18">
        <v>0.63100000000000001</v>
      </c>
      <c r="F55" s="18">
        <f t="shared" si="3"/>
        <v>0.501</v>
      </c>
      <c r="G55" s="18">
        <v>2197.4</v>
      </c>
      <c r="H55" s="19">
        <f t="shared" si="4"/>
        <v>1100.8974000000001</v>
      </c>
      <c r="I55" s="19">
        <v>9441</v>
      </c>
      <c r="J55" s="19">
        <v>0</v>
      </c>
      <c r="K55" s="32">
        <f t="shared" si="5"/>
        <v>10541.8974</v>
      </c>
    </row>
    <row r="56" spans="1:11" ht="51" customHeight="1" x14ac:dyDescent="0.3">
      <c r="A56" s="15">
        <v>42</v>
      </c>
      <c r="B56" s="17" t="s">
        <v>72</v>
      </c>
      <c r="C56" s="27">
        <v>105517</v>
      </c>
      <c r="D56" s="18">
        <v>7.9080000000000004</v>
      </c>
      <c r="E56" s="18">
        <v>12.345000000000001</v>
      </c>
      <c r="F56" s="18">
        <f t="shared" si="3"/>
        <v>4.4370000000000003</v>
      </c>
      <c r="G56" s="18">
        <v>2197.4</v>
      </c>
      <c r="H56" s="19">
        <f t="shared" si="4"/>
        <v>9749.863800000001</v>
      </c>
      <c r="I56" s="19"/>
      <c r="J56" s="19">
        <v>0</v>
      </c>
      <c r="K56" s="32">
        <f t="shared" si="5"/>
        <v>9749.863800000001</v>
      </c>
    </row>
    <row r="57" spans="1:11" ht="51" customHeight="1" x14ac:dyDescent="0.3">
      <c r="A57" s="15">
        <v>43</v>
      </c>
      <c r="B57" s="17" t="s">
        <v>73</v>
      </c>
      <c r="C57" s="27">
        <v>105558</v>
      </c>
      <c r="D57" s="18">
        <v>8.1170000000000009</v>
      </c>
      <c r="E57" s="18">
        <v>13.363</v>
      </c>
      <c r="F57" s="18">
        <f t="shared" si="3"/>
        <v>5.2459999999999987</v>
      </c>
      <c r="G57" s="18">
        <v>2197.4</v>
      </c>
      <c r="H57" s="19">
        <f t="shared" si="4"/>
        <v>11527.560399999997</v>
      </c>
      <c r="I57" s="19"/>
      <c r="J57" s="19">
        <v>0</v>
      </c>
      <c r="K57" s="32">
        <f t="shared" si="5"/>
        <v>11527.560399999997</v>
      </c>
    </row>
    <row r="58" spans="1:11" ht="51" customHeight="1" x14ac:dyDescent="0.3">
      <c r="A58" s="15">
        <v>44</v>
      </c>
      <c r="B58" s="17" t="s">
        <v>74</v>
      </c>
      <c r="C58" s="27">
        <v>105556</v>
      </c>
      <c r="D58" s="18">
        <v>7.1360000000000001</v>
      </c>
      <c r="E58" s="18">
        <v>13.948</v>
      </c>
      <c r="F58" s="18">
        <f t="shared" si="3"/>
        <v>6.8120000000000003</v>
      </c>
      <c r="G58" s="18">
        <v>2197.4</v>
      </c>
      <c r="H58" s="19">
        <f t="shared" si="4"/>
        <v>14968.688800000002</v>
      </c>
      <c r="I58" s="19"/>
      <c r="J58" s="19">
        <v>0</v>
      </c>
      <c r="K58" s="32">
        <f t="shared" si="5"/>
        <v>14968.688800000002</v>
      </c>
    </row>
    <row r="59" spans="1:11" ht="51" customHeight="1" x14ac:dyDescent="0.3">
      <c r="A59" s="15">
        <v>50</v>
      </c>
      <c r="B59" s="17" t="s">
        <v>75</v>
      </c>
      <c r="C59" s="27">
        <v>105516</v>
      </c>
      <c r="D59" s="18">
        <v>5.2039999999999997</v>
      </c>
      <c r="E59" s="18">
        <v>10.442</v>
      </c>
      <c r="F59" s="18">
        <f t="shared" si="3"/>
        <v>5.2380000000000004</v>
      </c>
      <c r="G59" s="18">
        <v>2197.4</v>
      </c>
      <c r="H59" s="19">
        <f t="shared" si="4"/>
        <v>11509.981200000002</v>
      </c>
      <c r="I59" s="19"/>
      <c r="J59" s="19">
        <v>7000</v>
      </c>
      <c r="K59" s="32">
        <f t="shared" si="5"/>
        <v>18509.981200000002</v>
      </c>
    </row>
    <row r="60" spans="1:11" ht="51" customHeight="1" x14ac:dyDescent="0.3">
      <c r="A60" s="15">
        <v>58</v>
      </c>
      <c r="B60" s="20" t="s">
        <v>76</v>
      </c>
      <c r="C60" s="27">
        <v>106726</v>
      </c>
      <c r="D60" s="18">
        <v>11.089</v>
      </c>
      <c r="E60" s="18">
        <v>23.94</v>
      </c>
      <c r="F60" s="18">
        <f t="shared" si="3"/>
        <v>12.851000000000001</v>
      </c>
      <c r="G60" s="18">
        <v>2197.4</v>
      </c>
      <c r="H60" s="19">
        <f t="shared" si="4"/>
        <v>28238.787400000005</v>
      </c>
      <c r="I60" s="19"/>
      <c r="J60" s="19">
        <v>0</v>
      </c>
      <c r="K60" s="32">
        <f t="shared" si="5"/>
        <v>28238.787400000005</v>
      </c>
    </row>
    <row r="61" spans="1:11" ht="51" customHeight="1" x14ac:dyDescent="0.3">
      <c r="A61" s="15">
        <v>59</v>
      </c>
      <c r="B61" s="17" t="s">
        <v>77</v>
      </c>
      <c r="C61" s="27">
        <v>105559</v>
      </c>
      <c r="D61" s="18">
        <v>10.545</v>
      </c>
      <c r="E61" s="18">
        <v>15.968999999999999</v>
      </c>
      <c r="F61" s="18">
        <f t="shared" si="3"/>
        <v>5.4239999999999995</v>
      </c>
      <c r="G61" s="18">
        <v>2197.4</v>
      </c>
      <c r="H61" s="19">
        <f t="shared" si="4"/>
        <v>11918.6976</v>
      </c>
      <c r="I61" s="19"/>
      <c r="J61" s="19">
        <v>0</v>
      </c>
      <c r="K61" s="32">
        <f t="shared" si="5"/>
        <v>11918.6976</v>
      </c>
    </row>
    <row r="62" spans="1:11" ht="51" customHeight="1" x14ac:dyDescent="0.3">
      <c r="A62" s="15">
        <v>60</v>
      </c>
      <c r="B62" s="20" t="s">
        <v>78</v>
      </c>
      <c r="C62" s="27">
        <v>105513</v>
      </c>
      <c r="D62" s="18">
        <v>3.6920000000000002</v>
      </c>
      <c r="E62" s="18">
        <v>5.8769999999999998</v>
      </c>
      <c r="F62" s="18">
        <f t="shared" si="3"/>
        <v>2.1849999999999996</v>
      </c>
      <c r="G62" s="18">
        <v>2197.4</v>
      </c>
      <c r="H62" s="19">
        <f t="shared" si="4"/>
        <v>4801.3189999999995</v>
      </c>
      <c r="I62" s="19">
        <v>9441</v>
      </c>
      <c r="J62" s="19">
        <v>0</v>
      </c>
      <c r="K62" s="32">
        <f t="shared" si="5"/>
        <v>14242.319</v>
      </c>
    </row>
    <row r="63" spans="1:11" ht="51" customHeight="1" x14ac:dyDescent="0.3">
      <c r="A63" s="15">
        <v>61</v>
      </c>
      <c r="B63" s="17" t="s">
        <v>79</v>
      </c>
      <c r="C63" s="27">
        <v>105514</v>
      </c>
      <c r="D63" s="18">
        <v>2.5569999999999999</v>
      </c>
      <c r="E63" s="18">
        <v>3.0089999999999999</v>
      </c>
      <c r="F63" s="18">
        <f t="shared" si="3"/>
        <v>0.45199999999999996</v>
      </c>
      <c r="G63" s="18">
        <v>2197.4</v>
      </c>
      <c r="H63" s="19">
        <f t="shared" si="4"/>
        <v>993.22479999999996</v>
      </c>
      <c r="I63" s="19">
        <v>9441</v>
      </c>
      <c r="J63" s="19">
        <v>0</v>
      </c>
      <c r="K63" s="32">
        <f t="shared" si="5"/>
        <v>10434.2248</v>
      </c>
    </row>
    <row r="64" spans="1:11" ht="51" customHeight="1" x14ac:dyDescent="0.3">
      <c r="A64" s="15">
        <v>62</v>
      </c>
      <c r="B64" s="17" t="s">
        <v>80</v>
      </c>
      <c r="C64" s="27">
        <v>105515</v>
      </c>
      <c r="D64" s="18">
        <v>7.0529999999999999</v>
      </c>
      <c r="E64" s="18">
        <v>7.4989999999999997</v>
      </c>
      <c r="F64" s="18">
        <f t="shared" si="3"/>
        <v>0.44599999999999973</v>
      </c>
      <c r="G64" s="18">
        <v>2197.4</v>
      </c>
      <c r="H64" s="19">
        <f t="shared" si="4"/>
        <v>980.04039999999941</v>
      </c>
      <c r="I64" s="19">
        <v>9441</v>
      </c>
      <c r="J64" s="19">
        <v>0</v>
      </c>
      <c r="K64" s="32">
        <f t="shared" si="5"/>
        <v>10421.0404</v>
      </c>
    </row>
    <row r="65" spans="1:11" ht="51" customHeight="1" x14ac:dyDescent="0.3">
      <c r="A65" s="15">
        <v>63</v>
      </c>
      <c r="B65" s="33" t="s">
        <v>60</v>
      </c>
      <c r="C65" s="34">
        <v>105520</v>
      </c>
      <c r="D65" s="22">
        <v>0.11799999999999999</v>
      </c>
      <c r="E65" s="22">
        <v>0.372</v>
      </c>
      <c r="F65" s="18">
        <f t="shared" si="3"/>
        <v>0.254</v>
      </c>
      <c r="G65" s="22">
        <v>2197.4</v>
      </c>
      <c r="H65" s="35">
        <f t="shared" si="4"/>
        <v>558.13960000000009</v>
      </c>
      <c r="I65" s="35"/>
      <c r="J65" s="35">
        <v>0</v>
      </c>
      <c r="K65" s="32">
        <f t="shared" si="5"/>
        <v>558.13960000000009</v>
      </c>
    </row>
    <row r="66" spans="1:11" ht="51" customHeight="1" x14ac:dyDescent="0.3">
      <c r="A66" s="15">
        <v>64</v>
      </c>
      <c r="B66" s="17" t="s">
        <v>81</v>
      </c>
      <c r="C66" s="27">
        <v>105537</v>
      </c>
      <c r="D66" s="18">
        <v>10.343999999999999</v>
      </c>
      <c r="E66" s="18">
        <v>19.364000000000001</v>
      </c>
      <c r="F66" s="18">
        <f t="shared" si="3"/>
        <v>9.0200000000000014</v>
      </c>
      <c r="G66" s="18">
        <v>2197.4</v>
      </c>
      <c r="H66" s="19">
        <f t="shared" si="4"/>
        <v>19820.548000000003</v>
      </c>
      <c r="I66" s="19"/>
      <c r="J66" s="19">
        <v>7000</v>
      </c>
      <c r="K66" s="32">
        <f t="shared" si="5"/>
        <v>26820.548000000003</v>
      </c>
    </row>
    <row r="67" spans="1:11" ht="51" customHeight="1" x14ac:dyDescent="0.3">
      <c r="A67" s="15">
        <v>65</v>
      </c>
      <c r="B67" s="17" t="s">
        <v>82</v>
      </c>
      <c r="C67" s="27">
        <v>105566</v>
      </c>
      <c r="D67" s="18">
        <v>0.127</v>
      </c>
      <c r="E67" s="18">
        <v>4.7039999999999997</v>
      </c>
      <c r="F67" s="18">
        <f t="shared" si="3"/>
        <v>4.577</v>
      </c>
      <c r="G67" s="18">
        <v>2197.4</v>
      </c>
      <c r="H67" s="19">
        <f t="shared" si="4"/>
        <v>10057.4998</v>
      </c>
      <c r="I67" s="19"/>
      <c r="J67" s="19">
        <v>0</v>
      </c>
      <c r="K67" s="32">
        <f t="shared" si="5"/>
        <v>10057.4998</v>
      </c>
    </row>
    <row r="68" spans="1:11" ht="51" customHeight="1" x14ac:dyDescent="0.3">
      <c r="A68" s="15">
        <v>66</v>
      </c>
      <c r="B68" s="17" t="s">
        <v>83</v>
      </c>
      <c r="C68" s="27">
        <v>105557</v>
      </c>
      <c r="D68" s="18">
        <v>11.318</v>
      </c>
      <c r="E68" s="18">
        <v>22.106000000000002</v>
      </c>
      <c r="F68" s="18">
        <f t="shared" si="3"/>
        <v>10.788000000000002</v>
      </c>
      <c r="G68" s="18">
        <v>2197.4</v>
      </c>
      <c r="H68" s="19">
        <f t="shared" si="4"/>
        <v>23705.551200000005</v>
      </c>
      <c r="I68" s="19"/>
      <c r="J68" s="19">
        <v>0</v>
      </c>
      <c r="K68" s="32">
        <f t="shared" si="5"/>
        <v>23705.551200000005</v>
      </c>
    </row>
    <row r="69" spans="1:11" ht="51" customHeight="1" x14ac:dyDescent="0.3">
      <c r="A69" s="15">
        <v>67</v>
      </c>
      <c r="B69" s="17" t="s">
        <v>84</v>
      </c>
      <c r="C69" s="27">
        <v>105555</v>
      </c>
      <c r="D69" s="18">
        <v>6.4009999999999998</v>
      </c>
      <c r="E69" s="18">
        <v>11.355</v>
      </c>
      <c r="F69" s="18">
        <f t="shared" si="3"/>
        <v>4.9540000000000006</v>
      </c>
      <c r="G69" s="18">
        <v>2197.4</v>
      </c>
      <c r="H69" s="19">
        <f t="shared" si="4"/>
        <v>10885.919600000001</v>
      </c>
      <c r="I69" s="19">
        <v>9441</v>
      </c>
      <c r="J69" s="19">
        <v>0</v>
      </c>
      <c r="K69" s="32">
        <f t="shared" si="5"/>
        <v>20326.919600000001</v>
      </c>
    </row>
    <row r="70" spans="1:11" ht="51" customHeight="1" x14ac:dyDescent="0.3">
      <c r="A70" s="15">
        <v>68</v>
      </c>
      <c r="B70" s="17" t="s">
        <v>85</v>
      </c>
      <c r="C70" s="27">
        <v>105554</v>
      </c>
      <c r="D70" s="18">
        <v>16.931999999999999</v>
      </c>
      <c r="E70" s="18">
        <v>35.979999999999997</v>
      </c>
      <c r="F70" s="18">
        <f t="shared" si="3"/>
        <v>19.047999999999998</v>
      </c>
      <c r="G70" s="18">
        <v>2197.4</v>
      </c>
      <c r="H70" s="19">
        <f t="shared" si="4"/>
        <v>41856.075199999999</v>
      </c>
      <c r="I70" s="19"/>
      <c r="J70" s="19">
        <v>0</v>
      </c>
      <c r="K70" s="32">
        <f t="shared" si="5"/>
        <v>41856.075199999999</v>
      </c>
    </row>
    <row r="71" spans="1:11" ht="51" customHeight="1" x14ac:dyDescent="0.3">
      <c r="A71" s="15">
        <v>69</v>
      </c>
      <c r="B71" s="18" t="s">
        <v>86</v>
      </c>
      <c r="C71" s="27">
        <v>106174</v>
      </c>
      <c r="D71" s="18">
        <v>3.7320000000000002</v>
      </c>
      <c r="E71" s="18">
        <v>8.8000000000000007</v>
      </c>
      <c r="F71" s="18">
        <f t="shared" si="3"/>
        <v>5.0680000000000005</v>
      </c>
      <c r="G71" s="18">
        <v>2197.4</v>
      </c>
      <c r="H71" s="19">
        <f t="shared" si="4"/>
        <v>11136.423200000001</v>
      </c>
      <c r="I71" s="19">
        <v>9441</v>
      </c>
      <c r="J71" s="19">
        <v>7000</v>
      </c>
      <c r="K71" s="32">
        <f t="shared" si="5"/>
        <v>27577.423200000001</v>
      </c>
    </row>
    <row r="72" spans="1:11" ht="51" customHeight="1" x14ac:dyDescent="0.3">
      <c r="A72" s="15">
        <v>70</v>
      </c>
      <c r="B72" s="17" t="s">
        <v>87</v>
      </c>
      <c r="C72" s="27">
        <v>106178</v>
      </c>
      <c r="D72" s="18">
        <v>1.359</v>
      </c>
      <c r="E72" s="18">
        <v>1.5720000000000001</v>
      </c>
      <c r="F72" s="18">
        <f t="shared" si="3"/>
        <v>0.21300000000000008</v>
      </c>
      <c r="G72" s="18">
        <v>2197.4</v>
      </c>
      <c r="H72" s="19">
        <f>F72*G72</f>
        <v>468.04620000000017</v>
      </c>
      <c r="I72" s="19">
        <v>9441</v>
      </c>
      <c r="J72" s="19">
        <v>7000</v>
      </c>
      <c r="K72" s="32">
        <f t="shared" si="5"/>
        <v>16909.046200000001</v>
      </c>
    </row>
    <row r="73" spans="1:11" ht="51" customHeight="1" x14ac:dyDescent="0.3">
      <c r="A73" s="15">
        <v>71</v>
      </c>
      <c r="B73" s="17" t="s">
        <v>88</v>
      </c>
      <c r="C73" s="27">
        <v>105519</v>
      </c>
      <c r="D73" s="18">
        <v>11.208</v>
      </c>
      <c r="E73" s="18">
        <v>18.155000000000001</v>
      </c>
      <c r="F73" s="18">
        <f t="shared" si="3"/>
        <v>6.947000000000001</v>
      </c>
      <c r="G73" s="18">
        <v>2197.4</v>
      </c>
      <c r="H73" s="19">
        <f t="shared" ref="H73:H74" si="6">F73*G73</f>
        <v>15265.337800000003</v>
      </c>
      <c r="I73" s="19"/>
      <c r="J73" s="19">
        <v>7000</v>
      </c>
      <c r="K73" s="32">
        <f t="shared" si="5"/>
        <v>22265.337800000001</v>
      </c>
    </row>
    <row r="74" spans="1:11" ht="51" customHeight="1" x14ac:dyDescent="0.3">
      <c r="A74" s="15">
        <v>72</v>
      </c>
      <c r="B74" s="17" t="s">
        <v>89</v>
      </c>
      <c r="C74" s="27">
        <v>106177</v>
      </c>
      <c r="D74" s="18">
        <v>9.5190000000000001</v>
      </c>
      <c r="E74" s="18">
        <v>17.393000000000001</v>
      </c>
      <c r="F74" s="18">
        <f t="shared" si="3"/>
        <v>7.8740000000000006</v>
      </c>
      <c r="G74" s="18">
        <v>2197.4</v>
      </c>
      <c r="H74" s="19">
        <f t="shared" si="6"/>
        <v>17302.327600000001</v>
      </c>
      <c r="I74" s="19"/>
      <c r="J74" s="19">
        <v>0</v>
      </c>
      <c r="K74" s="32">
        <f t="shared" si="5"/>
        <v>17302.327600000001</v>
      </c>
    </row>
  </sheetData>
  <pageMargins left="0.7" right="0.7" top="0.75" bottom="0.75" header="0.3" footer="0.3"/>
  <pageSetup paperSize="9" orientation="portrait" r:id="rId1"/>
  <headerFooter>
    <oddHeader>&amp;CLECTURA DE MEDIDORES DE AGUA
BARRIO TRANSITORIO 13 DE MAYO&amp;RFECHA: _______________</oddHeader>
    <oddFooter>&amp;CCOMITÉ DE ADELANTO Y DESARROLLO 13 DE MAYO DE ANTOFAGASTA
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C6E71-D28E-4DEC-90E2-87CA68CAD0AB}">
  <dimension ref="A1:L55"/>
  <sheetViews>
    <sheetView showGridLines="0" showRuler="0" zoomScale="70" zoomScaleNormal="70" zoomScaleSheetLayoutView="80" zoomScalePageLayoutView="136" workbookViewId="0">
      <pane ySplit="1" topLeftCell="A27" activePane="bottomLeft" state="frozen"/>
      <selection pane="bottomLeft" activeCell="A2" sqref="A2:K31"/>
    </sheetView>
  </sheetViews>
  <sheetFormatPr baseColWidth="10" defaultColWidth="14.44140625" defaultRowHeight="51" customHeight="1" x14ac:dyDescent="0.3"/>
  <cols>
    <col min="1" max="1" width="7.77734375" style="1" customWidth="1"/>
    <col min="2" max="2" width="37.5546875" style="1" bestFit="1" customWidth="1"/>
    <col min="3" max="3" width="11.109375" style="1" bestFit="1" customWidth="1"/>
    <col min="4" max="4" width="14.88671875" style="2" customWidth="1"/>
    <col min="5" max="5" width="11.77734375" style="1" customWidth="1"/>
    <col min="6" max="6" width="17.33203125" style="1" customWidth="1"/>
    <col min="7" max="7" width="11.21875" style="1" bestFit="1" customWidth="1"/>
    <col min="8" max="8" width="13.88671875" style="1" bestFit="1" customWidth="1"/>
    <col min="9" max="9" width="14.44140625" style="1"/>
    <col min="10" max="10" width="11.109375" style="1" bestFit="1" customWidth="1"/>
    <col min="11" max="11" width="18.21875" style="5" bestFit="1" customWidth="1"/>
    <col min="12" max="16384" width="14.44140625" style="1"/>
  </cols>
  <sheetData>
    <row r="1" spans="1:12" ht="51" customHeight="1" x14ac:dyDescent="0.3">
      <c r="A1" s="14" t="s">
        <v>0</v>
      </c>
      <c r="B1" s="14" t="s">
        <v>32</v>
      </c>
      <c r="C1" s="25" t="s">
        <v>56</v>
      </c>
      <c r="D1" s="14" t="s">
        <v>43</v>
      </c>
      <c r="E1" s="14" t="s">
        <v>31</v>
      </c>
      <c r="F1" s="14" t="s">
        <v>45</v>
      </c>
      <c r="G1" s="26" t="s">
        <v>46</v>
      </c>
      <c r="H1" s="16" t="s">
        <v>47</v>
      </c>
      <c r="I1" s="14" t="s">
        <v>48</v>
      </c>
      <c r="J1" s="14" t="s">
        <v>49</v>
      </c>
      <c r="K1" s="40" t="s">
        <v>55</v>
      </c>
    </row>
    <row r="2" spans="1:12" ht="51" customHeight="1" x14ac:dyDescent="0.3">
      <c r="A2" s="15">
        <v>29</v>
      </c>
      <c r="B2" s="17" t="s">
        <v>61</v>
      </c>
      <c r="C2" s="27">
        <v>105563</v>
      </c>
      <c r="D2" s="18">
        <v>0.124</v>
      </c>
      <c r="E2" s="18">
        <v>4.9459999999999997</v>
      </c>
      <c r="F2" s="18">
        <f>E2-D2</f>
        <v>4.8220000000000001</v>
      </c>
      <c r="G2" s="18">
        <v>2197.4</v>
      </c>
      <c r="H2" s="19">
        <f>F2*G2</f>
        <v>10595.862800000001</v>
      </c>
      <c r="I2" s="19">
        <v>9441</v>
      </c>
      <c r="J2" s="19">
        <v>0</v>
      </c>
      <c r="K2" s="32">
        <f>H2+I2+J2</f>
        <v>20036.862800000003</v>
      </c>
    </row>
    <row r="3" spans="1:12" ht="51" customHeight="1" x14ac:dyDescent="0.3">
      <c r="A3" s="15">
        <v>31</v>
      </c>
      <c r="B3" s="17" t="s">
        <v>62</v>
      </c>
      <c r="C3" s="27">
        <v>105567</v>
      </c>
      <c r="D3" s="18">
        <v>0.13100000000000001</v>
      </c>
      <c r="E3" s="18">
        <v>1.385</v>
      </c>
      <c r="F3" s="18">
        <f t="shared" ref="F3:F31" si="0">E3-D3</f>
        <v>1.254</v>
      </c>
      <c r="G3" s="18">
        <v>2197.4</v>
      </c>
      <c r="H3" s="19">
        <f t="shared" ref="H3:H28" si="1">F3*G3</f>
        <v>2755.5396000000001</v>
      </c>
      <c r="I3" s="19">
        <v>9441</v>
      </c>
      <c r="J3" s="19">
        <v>0</v>
      </c>
      <c r="K3" s="32">
        <f t="shared" ref="K3:K32" si="2">H3+I3+J3</f>
        <v>12196.5396</v>
      </c>
    </row>
    <row r="4" spans="1:12" ht="51" customHeight="1" x14ac:dyDescent="0.3">
      <c r="A4" s="15">
        <v>32</v>
      </c>
      <c r="B4" s="17" t="s">
        <v>63</v>
      </c>
      <c r="C4" s="27">
        <v>106175</v>
      </c>
      <c r="D4" s="18">
        <v>4.8559999999999999</v>
      </c>
      <c r="E4" s="18">
        <v>11.771000000000001</v>
      </c>
      <c r="F4" s="18">
        <f t="shared" si="0"/>
        <v>6.9150000000000009</v>
      </c>
      <c r="G4" s="18">
        <v>2197.4</v>
      </c>
      <c r="H4" s="19">
        <f t="shared" si="1"/>
        <v>15195.021000000002</v>
      </c>
      <c r="I4" s="19"/>
      <c r="J4" s="19">
        <v>0</v>
      </c>
      <c r="K4" s="32">
        <f t="shared" si="2"/>
        <v>15195.021000000002</v>
      </c>
      <c r="L4" s="1" t="s">
        <v>92</v>
      </c>
    </row>
    <row r="5" spans="1:12" ht="51" customHeight="1" x14ac:dyDescent="0.3">
      <c r="A5" s="15">
        <v>33</v>
      </c>
      <c r="B5" s="17" t="s">
        <v>64</v>
      </c>
      <c r="C5" s="27">
        <v>105518</v>
      </c>
      <c r="D5" s="18">
        <v>2.2959999999999998</v>
      </c>
      <c r="E5" s="18">
        <v>6.266</v>
      </c>
      <c r="F5" s="18">
        <f t="shared" si="0"/>
        <v>3.97</v>
      </c>
      <c r="G5" s="18">
        <v>2197.4</v>
      </c>
      <c r="H5" s="19">
        <f t="shared" si="1"/>
        <v>8723.6779999999999</v>
      </c>
      <c r="I5" s="19"/>
      <c r="J5" s="19">
        <v>0</v>
      </c>
      <c r="K5" s="32">
        <f t="shared" si="2"/>
        <v>8723.6779999999999</v>
      </c>
      <c r="L5" s="1" t="s">
        <v>93</v>
      </c>
    </row>
    <row r="6" spans="1:12" ht="51" customHeight="1" x14ac:dyDescent="0.3">
      <c r="A6" s="15">
        <v>34</v>
      </c>
      <c r="B6" s="17" t="s">
        <v>65</v>
      </c>
      <c r="C6" s="27">
        <v>105553</v>
      </c>
      <c r="D6" s="18">
        <v>6.4550000000000001</v>
      </c>
      <c r="E6" s="18">
        <v>11.007999999999999</v>
      </c>
      <c r="F6" s="18">
        <f t="shared" si="0"/>
        <v>4.552999999999999</v>
      </c>
      <c r="G6" s="18">
        <v>2197.4</v>
      </c>
      <c r="H6" s="19">
        <f t="shared" si="1"/>
        <v>10004.762199999999</v>
      </c>
      <c r="I6" s="19"/>
      <c r="J6" s="19">
        <v>0</v>
      </c>
      <c r="K6" s="32">
        <f t="shared" si="2"/>
        <v>10004.762199999999</v>
      </c>
    </row>
    <row r="7" spans="1:12" ht="51" customHeight="1" x14ac:dyDescent="0.3">
      <c r="A7" s="15">
        <v>36</v>
      </c>
      <c r="B7" s="17" t="s">
        <v>66</v>
      </c>
      <c r="C7" s="27">
        <v>105568</v>
      </c>
      <c r="D7" s="18">
        <v>0.20799999999999999</v>
      </c>
      <c r="E7" s="18">
        <v>1.855</v>
      </c>
      <c r="F7" s="18">
        <f t="shared" si="0"/>
        <v>1.647</v>
      </c>
      <c r="G7" s="18">
        <v>2197.4</v>
      </c>
      <c r="H7" s="19">
        <f t="shared" si="1"/>
        <v>3619.1178</v>
      </c>
      <c r="I7" s="19">
        <v>9441</v>
      </c>
      <c r="J7" s="19">
        <v>0</v>
      </c>
      <c r="K7" s="32">
        <f t="shared" si="2"/>
        <v>13060.1178</v>
      </c>
      <c r="L7" s="13"/>
    </row>
    <row r="8" spans="1:12" ht="51" customHeight="1" x14ac:dyDescent="0.3">
      <c r="A8" s="15">
        <v>37</v>
      </c>
      <c r="B8" s="17" t="s">
        <v>67</v>
      </c>
      <c r="C8" s="27">
        <v>105552</v>
      </c>
      <c r="D8" s="18">
        <v>4.9039999999999999</v>
      </c>
      <c r="E8" s="18">
        <v>10.567</v>
      </c>
      <c r="F8" s="18">
        <f t="shared" si="0"/>
        <v>5.6630000000000003</v>
      </c>
      <c r="G8" s="18">
        <v>2197.4</v>
      </c>
      <c r="H8" s="19">
        <f t="shared" si="1"/>
        <v>12443.876200000001</v>
      </c>
      <c r="I8" s="19"/>
      <c r="J8" s="19">
        <v>0</v>
      </c>
      <c r="K8" s="32">
        <f t="shared" si="2"/>
        <v>12443.876200000001</v>
      </c>
      <c r="L8" s="13"/>
    </row>
    <row r="9" spans="1:12" ht="51" customHeight="1" x14ac:dyDescent="0.3">
      <c r="A9" s="15">
        <v>38</v>
      </c>
      <c r="B9" s="17" t="s">
        <v>68</v>
      </c>
      <c r="C9" s="27">
        <v>105564</v>
      </c>
      <c r="D9" s="18">
        <v>0.13400000000000001</v>
      </c>
      <c r="E9" s="18">
        <v>2.54</v>
      </c>
      <c r="F9" s="18">
        <f t="shared" si="0"/>
        <v>2.4060000000000001</v>
      </c>
      <c r="G9" s="18">
        <v>2197.4</v>
      </c>
      <c r="H9" s="19">
        <f t="shared" si="1"/>
        <v>5286.9444000000003</v>
      </c>
      <c r="I9" s="19"/>
      <c r="J9" s="19">
        <v>0</v>
      </c>
      <c r="K9" s="32">
        <f t="shared" si="2"/>
        <v>5286.9444000000003</v>
      </c>
    </row>
    <row r="10" spans="1:12" ht="51" customHeight="1" x14ac:dyDescent="0.3">
      <c r="A10" s="15">
        <v>39</v>
      </c>
      <c r="B10" s="17" t="s">
        <v>69</v>
      </c>
      <c r="C10" s="27">
        <v>105551</v>
      </c>
      <c r="D10" s="18">
        <v>7.4489999999999998</v>
      </c>
      <c r="E10" s="18">
        <v>13.798</v>
      </c>
      <c r="F10" s="18">
        <f t="shared" si="0"/>
        <v>6.3490000000000002</v>
      </c>
      <c r="G10" s="18">
        <v>2197.4</v>
      </c>
      <c r="H10" s="19">
        <f t="shared" si="1"/>
        <v>13951.292600000001</v>
      </c>
      <c r="I10" s="19"/>
      <c r="J10" s="19">
        <v>0</v>
      </c>
      <c r="K10" s="32">
        <f t="shared" si="2"/>
        <v>13951.292600000001</v>
      </c>
    </row>
    <row r="11" spans="1:12" ht="51" customHeight="1" x14ac:dyDescent="0.3">
      <c r="A11" s="15">
        <v>40</v>
      </c>
      <c r="B11" s="17" t="s">
        <v>70</v>
      </c>
      <c r="C11" s="27">
        <v>105512</v>
      </c>
      <c r="D11" s="18">
        <v>4.3440000000000003</v>
      </c>
      <c r="E11" s="18">
        <v>8.9130000000000003</v>
      </c>
      <c r="F11" s="18">
        <f t="shared" si="0"/>
        <v>4.569</v>
      </c>
      <c r="G11" s="18">
        <v>2197.4</v>
      </c>
      <c r="H11" s="19">
        <f t="shared" si="1"/>
        <v>10039.920599999999</v>
      </c>
      <c r="I11" s="19">
        <v>9441</v>
      </c>
      <c r="J11" s="19">
        <v>0</v>
      </c>
      <c r="K11" s="32">
        <f t="shared" si="2"/>
        <v>19480.920599999998</v>
      </c>
    </row>
    <row r="12" spans="1:12" ht="51" customHeight="1" x14ac:dyDescent="0.3">
      <c r="A12" s="15">
        <v>41</v>
      </c>
      <c r="B12" s="17" t="s">
        <v>71</v>
      </c>
      <c r="C12" s="27">
        <v>105565</v>
      </c>
      <c r="D12" s="18">
        <v>0.13</v>
      </c>
      <c r="E12" s="18">
        <v>0.63100000000000001</v>
      </c>
      <c r="F12" s="18">
        <f t="shared" si="0"/>
        <v>0.501</v>
      </c>
      <c r="G12" s="18">
        <v>2197.4</v>
      </c>
      <c r="H12" s="19">
        <f t="shared" si="1"/>
        <v>1100.8974000000001</v>
      </c>
      <c r="I12" s="19">
        <v>9441</v>
      </c>
      <c r="J12" s="19">
        <v>0</v>
      </c>
      <c r="K12" s="32">
        <f t="shared" si="2"/>
        <v>10541.8974</v>
      </c>
    </row>
    <row r="13" spans="1:12" ht="51" customHeight="1" x14ac:dyDescent="0.3">
      <c r="A13" s="15">
        <v>42</v>
      </c>
      <c r="B13" s="17" t="s">
        <v>72</v>
      </c>
      <c r="C13" s="27">
        <v>105517</v>
      </c>
      <c r="D13" s="18">
        <v>7.9080000000000004</v>
      </c>
      <c r="E13" s="18">
        <v>12.345000000000001</v>
      </c>
      <c r="F13" s="18">
        <f t="shared" si="0"/>
        <v>4.4370000000000003</v>
      </c>
      <c r="G13" s="18">
        <v>2197.4</v>
      </c>
      <c r="H13" s="19">
        <f t="shared" si="1"/>
        <v>9749.863800000001</v>
      </c>
      <c r="I13" s="19"/>
      <c r="J13" s="19">
        <v>0</v>
      </c>
      <c r="K13" s="32">
        <f t="shared" si="2"/>
        <v>9749.863800000001</v>
      </c>
    </row>
    <row r="14" spans="1:12" ht="51" customHeight="1" x14ac:dyDescent="0.3">
      <c r="A14" s="15">
        <v>43</v>
      </c>
      <c r="B14" s="17" t="s">
        <v>73</v>
      </c>
      <c r="C14" s="27">
        <v>105558</v>
      </c>
      <c r="D14" s="18">
        <v>8.1170000000000009</v>
      </c>
      <c r="E14" s="18">
        <v>13.363</v>
      </c>
      <c r="F14" s="18">
        <f t="shared" si="0"/>
        <v>5.2459999999999987</v>
      </c>
      <c r="G14" s="18">
        <v>2197.4</v>
      </c>
      <c r="H14" s="19">
        <f t="shared" si="1"/>
        <v>11527.560399999997</v>
      </c>
      <c r="I14" s="19"/>
      <c r="J14" s="19">
        <v>0</v>
      </c>
      <c r="K14" s="32">
        <f t="shared" si="2"/>
        <v>11527.560399999997</v>
      </c>
    </row>
    <row r="15" spans="1:12" ht="51" customHeight="1" x14ac:dyDescent="0.3">
      <c r="A15" s="15">
        <v>44</v>
      </c>
      <c r="B15" s="17" t="s">
        <v>74</v>
      </c>
      <c r="C15" s="27">
        <v>105556</v>
      </c>
      <c r="D15" s="18">
        <v>7.1360000000000001</v>
      </c>
      <c r="E15" s="18">
        <v>13.948</v>
      </c>
      <c r="F15" s="18">
        <f t="shared" si="0"/>
        <v>6.8120000000000003</v>
      </c>
      <c r="G15" s="18">
        <v>2197.4</v>
      </c>
      <c r="H15" s="19">
        <f t="shared" si="1"/>
        <v>14968.688800000002</v>
      </c>
      <c r="I15" s="19"/>
      <c r="J15" s="19">
        <v>0</v>
      </c>
      <c r="K15" s="32">
        <f t="shared" si="2"/>
        <v>14968.688800000002</v>
      </c>
    </row>
    <row r="16" spans="1:12" s="2" customFormat="1" ht="51" customHeight="1" x14ac:dyDescent="0.3">
      <c r="A16" s="15">
        <v>50</v>
      </c>
      <c r="B16" s="17" t="s">
        <v>75</v>
      </c>
      <c r="C16" s="27">
        <v>105516</v>
      </c>
      <c r="D16" s="18">
        <v>5.2039999999999997</v>
      </c>
      <c r="E16" s="18">
        <v>10.442</v>
      </c>
      <c r="F16" s="18">
        <f t="shared" si="0"/>
        <v>5.2380000000000004</v>
      </c>
      <c r="G16" s="18">
        <v>2197.4</v>
      </c>
      <c r="H16" s="19">
        <f t="shared" si="1"/>
        <v>11509.981200000002</v>
      </c>
      <c r="I16" s="19"/>
      <c r="J16" s="19">
        <v>7000</v>
      </c>
      <c r="K16" s="32">
        <f t="shared" si="2"/>
        <v>18509.981200000002</v>
      </c>
    </row>
    <row r="17" spans="1:12" s="2" customFormat="1" ht="51" customHeight="1" x14ac:dyDescent="0.3">
      <c r="A17" s="15">
        <v>58</v>
      </c>
      <c r="B17" s="20" t="s">
        <v>76</v>
      </c>
      <c r="C17" s="27">
        <v>106726</v>
      </c>
      <c r="D17" s="18">
        <v>11.089</v>
      </c>
      <c r="E17" s="18">
        <v>23.94</v>
      </c>
      <c r="F17" s="18">
        <f t="shared" si="0"/>
        <v>12.851000000000001</v>
      </c>
      <c r="G17" s="18">
        <v>2197.4</v>
      </c>
      <c r="H17" s="19">
        <f t="shared" si="1"/>
        <v>28238.787400000005</v>
      </c>
      <c r="I17" s="19"/>
      <c r="J17" s="19">
        <v>0</v>
      </c>
      <c r="K17" s="32">
        <f t="shared" si="2"/>
        <v>28238.787400000005</v>
      </c>
    </row>
    <row r="18" spans="1:12" s="2" customFormat="1" ht="51" customHeight="1" x14ac:dyDescent="0.3">
      <c r="A18" s="15">
        <v>59</v>
      </c>
      <c r="B18" s="17" t="s">
        <v>77</v>
      </c>
      <c r="C18" s="27">
        <v>105559</v>
      </c>
      <c r="D18" s="18">
        <v>10.545</v>
      </c>
      <c r="E18" s="18">
        <v>15.968999999999999</v>
      </c>
      <c r="F18" s="18">
        <f t="shared" si="0"/>
        <v>5.4239999999999995</v>
      </c>
      <c r="G18" s="18">
        <v>2197.4</v>
      </c>
      <c r="H18" s="19">
        <f t="shared" si="1"/>
        <v>11918.6976</v>
      </c>
      <c r="I18" s="19"/>
      <c r="J18" s="19">
        <v>0</v>
      </c>
      <c r="K18" s="32">
        <f t="shared" si="2"/>
        <v>11918.6976</v>
      </c>
    </row>
    <row r="19" spans="1:12" s="2" customFormat="1" ht="51" customHeight="1" x14ac:dyDescent="0.3">
      <c r="A19" s="15">
        <v>60</v>
      </c>
      <c r="B19" s="20" t="s">
        <v>78</v>
      </c>
      <c r="C19" s="27">
        <v>105513</v>
      </c>
      <c r="D19" s="18">
        <v>3.6920000000000002</v>
      </c>
      <c r="E19" s="18">
        <v>5.8769999999999998</v>
      </c>
      <c r="F19" s="18">
        <f t="shared" si="0"/>
        <v>2.1849999999999996</v>
      </c>
      <c r="G19" s="18">
        <v>2197.4</v>
      </c>
      <c r="H19" s="19">
        <f t="shared" si="1"/>
        <v>4801.3189999999995</v>
      </c>
      <c r="I19" s="19">
        <v>9441</v>
      </c>
      <c r="J19" s="19">
        <v>0</v>
      </c>
      <c r="K19" s="32">
        <f t="shared" si="2"/>
        <v>14242.319</v>
      </c>
    </row>
    <row r="20" spans="1:12" s="2" customFormat="1" ht="51" customHeight="1" x14ac:dyDescent="0.3">
      <c r="A20" s="15">
        <v>61</v>
      </c>
      <c r="B20" s="17" t="s">
        <v>79</v>
      </c>
      <c r="C20" s="27">
        <v>105514</v>
      </c>
      <c r="D20" s="18">
        <v>2.5569999999999999</v>
      </c>
      <c r="E20" s="18">
        <v>3.0089999999999999</v>
      </c>
      <c r="F20" s="18">
        <f t="shared" si="0"/>
        <v>0.45199999999999996</v>
      </c>
      <c r="G20" s="18">
        <v>2197.4</v>
      </c>
      <c r="H20" s="19">
        <f t="shared" si="1"/>
        <v>993.22479999999996</v>
      </c>
      <c r="I20" s="19">
        <v>9441</v>
      </c>
      <c r="J20" s="19">
        <v>0</v>
      </c>
      <c r="K20" s="32">
        <f t="shared" si="2"/>
        <v>10434.2248</v>
      </c>
    </row>
    <row r="21" spans="1:12" s="2" customFormat="1" ht="51" customHeight="1" x14ac:dyDescent="0.3">
      <c r="A21" s="15">
        <v>62</v>
      </c>
      <c r="B21" s="17" t="s">
        <v>80</v>
      </c>
      <c r="C21" s="27">
        <v>105515</v>
      </c>
      <c r="D21" s="18">
        <v>7.0529999999999999</v>
      </c>
      <c r="E21" s="18">
        <v>7.4989999999999997</v>
      </c>
      <c r="F21" s="18">
        <f t="shared" si="0"/>
        <v>0.44599999999999973</v>
      </c>
      <c r="G21" s="18">
        <v>2197.4</v>
      </c>
      <c r="H21" s="19">
        <f t="shared" si="1"/>
        <v>980.04039999999941</v>
      </c>
      <c r="I21" s="19">
        <v>9441</v>
      </c>
      <c r="J21" s="19">
        <v>0</v>
      </c>
      <c r="K21" s="32">
        <f t="shared" si="2"/>
        <v>10421.0404</v>
      </c>
    </row>
    <row r="22" spans="1:12" s="2" customFormat="1" ht="51" customHeight="1" x14ac:dyDescent="0.3">
      <c r="A22" s="15">
        <v>63</v>
      </c>
      <c r="B22" s="33" t="s">
        <v>60</v>
      </c>
      <c r="C22" s="34">
        <v>105520</v>
      </c>
      <c r="D22" s="22">
        <v>0.11799999999999999</v>
      </c>
      <c r="E22" s="22">
        <v>0.372</v>
      </c>
      <c r="F22" s="18">
        <f t="shared" si="0"/>
        <v>0.254</v>
      </c>
      <c r="G22" s="22">
        <v>2197.4</v>
      </c>
      <c r="H22" s="35">
        <f t="shared" si="1"/>
        <v>558.13960000000009</v>
      </c>
      <c r="I22" s="35"/>
      <c r="J22" s="35">
        <v>0</v>
      </c>
      <c r="K22" s="32">
        <f t="shared" si="2"/>
        <v>558.13960000000009</v>
      </c>
    </row>
    <row r="23" spans="1:12" ht="51" customHeight="1" x14ac:dyDescent="0.3">
      <c r="A23" s="15">
        <v>64</v>
      </c>
      <c r="B23" s="17" t="s">
        <v>81</v>
      </c>
      <c r="C23" s="27">
        <v>105537</v>
      </c>
      <c r="D23" s="18">
        <v>10.343999999999999</v>
      </c>
      <c r="E23" s="18">
        <v>19.364000000000001</v>
      </c>
      <c r="F23" s="18">
        <f t="shared" si="0"/>
        <v>9.0200000000000014</v>
      </c>
      <c r="G23" s="18">
        <v>2197.4</v>
      </c>
      <c r="H23" s="19">
        <f t="shared" si="1"/>
        <v>19820.548000000003</v>
      </c>
      <c r="I23" s="19"/>
      <c r="J23" s="19">
        <v>7000</v>
      </c>
      <c r="K23" s="32">
        <f t="shared" si="2"/>
        <v>26820.548000000003</v>
      </c>
    </row>
    <row r="24" spans="1:12" ht="51" customHeight="1" x14ac:dyDescent="0.3">
      <c r="A24" s="15">
        <v>65</v>
      </c>
      <c r="B24" s="17" t="s">
        <v>82</v>
      </c>
      <c r="C24" s="27">
        <v>105566</v>
      </c>
      <c r="D24" s="18">
        <v>0.127</v>
      </c>
      <c r="E24" s="18">
        <v>4.7039999999999997</v>
      </c>
      <c r="F24" s="18">
        <f t="shared" si="0"/>
        <v>4.577</v>
      </c>
      <c r="G24" s="18">
        <v>2197.4</v>
      </c>
      <c r="H24" s="19">
        <f t="shared" si="1"/>
        <v>10057.4998</v>
      </c>
      <c r="I24" s="19"/>
      <c r="J24" s="19">
        <v>0</v>
      </c>
      <c r="K24" s="32">
        <f t="shared" si="2"/>
        <v>10057.4998</v>
      </c>
      <c r="L24" s="2"/>
    </row>
    <row r="25" spans="1:12" ht="51" customHeight="1" x14ac:dyDescent="0.3">
      <c r="A25" s="15">
        <v>66</v>
      </c>
      <c r="B25" s="17" t="s">
        <v>83</v>
      </c>
      <c r="C25" s="27">
        <v>105557</v>
      </c>
      <c r="D25" s="18">
        <v>11.318</v>
      </c>
      <c r="E25" s="18">
        <v>22.106000000000002</v>
      </c>
      <c r="F25" s="18">
        <f t="shared" si="0"/>
        <v>10.788000000000002</v>
      </c>
      <c r="G25" s="18">
        <v>2197.4</v>
      </c>
      <c r="H25" s="19">
        <f t="shared" si="1"/>
        <v>23705.551200000005</v>
      </c>
      <c r="I25" s="19"/>
      <c r="J25" s="19">
        <v>0</v>
      </c>
      <c r="K25" s="32">
        <f t="shared" si="2"/>
        <v>23705.551200000005</v>
      </c>
    </row>
    <row r="26" spans="1:12" ht="51" customHeight="1" x14ac:dyDescent="0.3">
      <c r="A26" s="15">
        <v>67</v>
      </c>
      <c r="B26" s="17" t="s">
        <v>84</v>
      </c>
      <c r="C26" s="27">
        <v>105555</v>
      </c>
      <c r="D26" s="18">
        <v>6.4009999999999998</v>
      </c>
      <c r="E26" s="18">
        <v>11.355</v>
      </c>
      <c r="F26" s="18">
        <f t="shared" si="0"/>
        <v>4.9540000000000006</v>
      </c>
      <c r="G26" s="18">
        <v>2197.4</v>
      </c>
      <c r="H26" s="19">
        <f t="shared" si="1"/>
        <v>10885.919600000001</v>
      </c>
      <c r="I26" s="19">
        <v>9441</v>
      </c>
      <c r="J26" s="19">
        <v>0</v>
      </c>
      <c r="K26" s="32">
        <f t="shared" si="2"/>
        <v>20326.919600000001</v>
      </c>
      <c r="L26" s="2"/>
    </row>
    <row r="27" spans="1:12" ht="51" customHeight="1" x14ac:dyDescent="0.3">
      <c r="A27" s="15">
        <v>68</v>
      </c>
      <c r="B27" s="17" t="s">
        <v>85</v>
      </c>
      <c r="C27" s="27">
        <v>105554</v>
      </c>
      <c r="D27" s="18">
        <v>16.931999999999999</v>
      </c>
      <c r="E27" s="18">
        <v>35.979999999999997</v>
      </c>
      <c r="F27" s="18">
        <f t="shared" si="0"/>
        <v>19.047999999999998</v>
      </c>
      <c r="G27" s="18">
        <v>2197.4</v>
      </c>
      <c r="H27" s="19">
        <f t="shared" si="1"/>
        <v>41856.075199999999</v>
      </c>
      <c r="I27" s="19"/>
      <c r="J27" s="19">
        <v>0</v>
      </c>
      <c r="K27" s="32">
        <f t="shared" si="2"/>
        <v>41856.075199999999</v>
      </c>
      <c r="L27" s="2"/>
    </row>
    <row r="28" spans="1:12" ht="51" customHeight="1" x14ac:dyDescent="0.3">
      <c r="A28" s="15">
        <v>69</v>
      </c>
      <c r="B28" s="18" t="s">
        <v>86</v>
      </c>
      <c r="C28" s="27">
        <v>106174</v>
      </c>
      <c r="D28" s="18">
        <v>3.7320000000000002</v>
      </c>
      <c r="E28" s="18">
        <v>8.8000000000000007</v>
      </c>
      <c r="F28" s="18">
        <f t="shared" si="0"/>
        <v>5.0680000000000005</v>
      </c>
      <c r="G28" s="18">
        <v>2197.4</v>
      </c>
      <c r="H28" s="19">
        <f t="shared" si="1"/>
        <v>11136.423200000001</v>
      </c>
      <c r="I28" s="19">
        <v>9441</v>
      </c>
      <c r="J28" s="19">
        <v>7000</v>
      </c>
      <c r="K28" s="32">
        <f t="shared" si="2"/>
        <v>27577.423200000001</v>
      </c>
      <c r="L28" s="2"/>
    </row>
    <row r="29" spans="1:12" ht="51" customHeight="1" x14ac:dyDescent="0.3">
      <c r="A29" s="15">
        <v>70</v>
      </c>
      <c r="B29" s="17" t="s">
        <v>87</v>
      </c>
      <c r="C29" s="27">
        <v>106178</v>
      </c>
      <c r="D29" s="18">
        <v>1.359</v>
      </c>
      <c r="E29" s="18">
        <v>1.5720000000000001</v>
      </c>
      <c r="F29" s="18">
        <f t="shared" si="0"/>
        <v>0.21300000000000008</v>
      </c>
      <c r="G29" s="18">
        <v>2197.4</v>
      </c>
      <c r="H29" s="19">
        <f>F29*G29</f>
        <v>468.04620000000017</v>
      </c>
      <c r="I29" s="19">
        <v>9441</v>
      </c>
      <c r="J29" s="19">
        <v>7000</v>
      </c>
      <c r="K29" s="32">
        <f t="shared" si="2"/>
        <v>16909.046200000001</v>
      </c>
    </row>
    <row r="30" spans="1:12" ht="51" customHeight="1" x14ac:dyDescent="0.3">
      <c r="A30" s="15">
        <v>71</v>
      </c>
      <c r="B30" s="17" t="s">
        <v>88</v>
      </c>
      <c r="C30" s="27">
        <v>105519</v>
      </c>
      <c r="D30" s="18">
        <v>11.208</v>
      </c>
      <c r="E30" s="18">
        <v>18.155000000000001</v>
      </c>
      <c r="F30" s="18">
        <f t="shared" si="0"/>
        <v>6.947000000000001</v>
      </c>
      <c r="G30" s="18">
        <v>2197.4</v>
      </c>
      <c r="H30" s="19">
        <f t="shared" ref="H30:H32" si="3">F30*G30</f>
        <v>15265.337800000003</v>
      </c>
      <c r="I30" s="19"/>
      <c r="J30" s="19">
        <v>7000</v>
      </c>
      <c r="K30" s="32">
        <f t="shared" si="2"/>
        <v>22265.337800000001</v>
      </c>
    </row>
    <row r="31" spans="1:12" ht="51" customHeight="1" x14ac:dyDescent="0.3">
      <c r="A31" s="15">
        <v>72</v>
      </c>
      <c r="B31" s="17" t="s">
        <v>89</v>
      </c>
      <c r="C31" s="27">
        <v>106177</v>
      </c>
      <c r="D31" s="18">
        <v>9.5190000000000001</v>
      </c>
      <c r="E31" s="18">
        <v>17.393000000000001</v>
      </c>
      <c r="F31" s="18">
        <f t="shared" si="0"/>
        <v>7.8740000000000006</v>
      </c>
      <c r="G31" s="18">
        <v>2197.4</v>
      </c>
      <c r="H31" s="19">
        <f t="shared" si="3"/>
        <v>17302.327600000001</v>
      </c>
      <c r="I31" s="19"/>
      <c r="J31" s="19">
        <v>0</v>
      </c>
      <c r="K31" s="32">
        <f t="shared" si="2"/>
        <v>17302.327600000001</v>
      </c>
    </row>
    <row r="32" spans="1:12" ht="51" customHeight="1" x14ac:dyDescent="0.3">
      <c r="A32" s="22"/>
      <c r="B32" s="18" t="s">
        <v>59</v>
      </c>
      <c r="C32" s="27"/>
      <c r="D32" s="18"/>
      <c r="E32" s="18"/>
      <c r="F32" s="18">
        <f t="shared" ref="F32" si="4">E33-D33</f>
        <v>0</v>
      </c>
      <c r="G32" s="18"/>
      <c r="H32" s="19">
        <f t="shared" si="3"/>
        <v>0</v>
      </c>
      <c r="I32" s="19"/>
      <c r="J32" s="19"/>
      <c r="K32" s="32">
        <f t="shared" si="2"/>
        <v>0</v>
      </c>
    </row>
    <row r="33" spans="2:10" ht="51" customHeight="1" x14ac:dyDescent="0.3">
      <c r="B33" s="12" t="s">
        <v>51</v>
      </c>
      <c r="C33" s="31">
        <v>1522</v>
      </c>
      <c r="F33" s="24">
        <f>SUM(F2:F31)</f>
        <v>154.48299999999998</v>
      </c>
      <c r="G33" s="7" t="s">
        <v>52</v>
      </c>
      <c r="H33" s="23">
        <f>SUM(H2:H31)</f>
        <v>339460.94420000003</v>
      </c>
      <c r="I33" s="9">
        <f>SUM(I2:I32)</f>
        <v>103851</v>
      </c>
      <c r="J33" s="29">
        <f>SUM(J2:J32)</f>
        <v>35000</v>
      </c>
    </row>
    <row r="34" spans="2:10" ht="51" customHeight="1" x14ac:dyDescent="0.3">
      <c r="B34" s="12" t="s">
        <v>90</v>
      </c>
      <c r="C34" s="31">
        <v>441786</v>
      </c>
      <c r="G34" s="8"/>
      <c r="H34" s="10"/>
    </row>
    <row r="35" spans="2:10" ht="51" customHeight="1" x14ac:dyDescent="0.3">
      <c r="B35" s="12" t="s">
        <v>58</v>
      </c>
      <c r="C35" s="30">
        <f>SUM(C33:C34)</f>
        <v>443308</v>
      </c>
      <c r="G35" s="11"/>
      <c r="H35" s="9"/>
      <c r="J35" s="5"/>
    </row>
    <row r="36" spans="2:10" ht="51" customHeight="1" x14ac:dyDescent="0.3">
      <c r="B36" s="12" t="s">
        <v>53</v>
      </c>
      <c r="C36" s="28"/>
      <c r="D36" s="3">
        <f>C35-H33</f>
        <v>103847.05579999997</v>
      </c>
    </row>
    <row r="37" spans="2:10" ht="51" customHeight="1" x14ac:dyDescent="0.3">
      <c r="B37" s="12" t="s">
        <v>54</v>
      </c>
      <c r="C37" s="28"/>
      <c r="D37" s="4"/>
      <c r="I37" s="6"/>
    </row>
    <row r="38" spans="2:10" ht="51" customHeight="1" x14ac:dyDescent="0.3">
      <c r="B38" s="1" t="s">
        <v>91</v>
      </c>
      <c r="C38" s="28"/>
      <c r="D38" s="37">
        <f>D36/11</f>
        <v>9440.6414363636341</v>
      </c>
    </row>
    <row r="39" spans="2:10" ht="51" customHeight="1" x14ac:dyDescent="0.3">
      <c r="D39" s="1"/>
    </row>
    <row r="40" spans="2:10" ht="51" customHeight="1" x14ac:dyDescent="0.3">
      <c r="C40" s="28"/>
    </row>
    <row r="41" spans="2:10" ht="51" customHeight="1" x14ac:dyDescent="0.3">
      <c r="C41" s="28"/>
    </row>
    <row r="42" spans="2:10" ht="51" customHeight="1" x14ac:dyDescent="0.3">
      <c r="C42" s="28"/>
    </row>
    <row r="43" spans="2:10" ht="51" customHeight="1" x14ac:dyDescent="0.3">
      <c r="C43" s="28"/>
    </row>
    <row r="44" spans="2:10" ht="51" customHeight="1" x14ac:dyDescent="0.3">
      <c r="C44" s="28"/>
    </row>
    <row r="45" spans="2:10" ht="51" customHeight="1" x14ac:dyDescent="0.3">
      <c r="C45" s="28"/>
    </row>
    <row r="46" spans="2:10" ht="51" customHeight="1" x14ac:dyDescent="0.3">
      <c r="C46" s="28"/>
    </row>
    <row r="47" spans="2:10" ht="51" customHeight="1" x14ac:dyDescent="0.3">
      <c r="C47" s="28"/>
    </row>
    <row r="48" spans="2:10" ht="51" customHeight="1" x14ac:dyDescent="0.3">
      <c r="C48" s="28"/>
    </row>
    <row r="49" spans="1:12" ht="51" customHeight="1" x14ac:dyDescent="0.3">
      <c r="C49" s="28"/>
    </row>
    <row r="50" spans="1:12" s="2" customFormat="1" ht="51" customHeight="1" x14ac:dyDescent="0.3">
      <c r="A50" s="1"/>
      <c r="B50" s="1"/>
      <c r="C50" s="28"/>
      <c r="E50" s="1"/>
      <c r="F50" s="1"/>
      <c r="G50" s="1"/>
      <c r="H50" s="1"/>
      <c r="I50" s="1"/>
      <c r="J50" s="1"/>
      <c r="K50" s="5"/>
      <c r="L50" s="1"/>
    </row>
    <row r="51" spans="1:12" s="2" customFormat="1" ht="51" customHeight="1" x14ac:dyDescent="0.3">
      <c r="A51" s="1"/>
      <c r="B51" s="1"/>
      <c r="C51" s="28"/>
      <c r="E51" s="1"/>
      <c r="F51" s="1"/>
      <c r="G51" s="1"/>
      <c r="H51" s="1"/>
      <c r="I51" s="1"/>
      <c r="J51" s="1"/>
      <c r="K51" s="5"/>
      <c r="L51" s="1"/>
    </row>
    <row r="52" spans="1:12" s="2" customFormat="1" ht="51" customHeight="1" x14ac:dyDescent="0.3">
      <c r="A52" s="1"/>
      <c r="B52" s="1"/>
      <c r="C52" s="28"/>
      <c r="E52" s="1"/>
      <c r="F52" s="1"/>
      <c r="G52" s="1"/>
      <c r="H52" s="1"/>
      <c r="I52" s="1"/>
      <c r="J52" s="1"/>
      <c r="K52" s="5"/>
      <c r="L52" s="1"/>
    </row>
    <row r="53" spans="1:12" s="2" customFormat="1" ht="51" customHeight="1" x14ac:dyDescent="0.3">
      <c r="A53" s="1"/>
      <c r="B53" s="1"/>
      <c r="C53" s="28"/>
      <c r="E53" s="1"/>
      <c r="F53" s="1"/>
      <c r="G53" s="1"/>
      <c r="H53" s="1"/>
      <c r="I53" s="1"/>
      <c r="J53" s="1"/>
      <c r="K53" s="5"/>
      <c r="L53" s="1"/>
    </row>
    <row r="54" spans="1:12" s="2" customFormat="1" ht="51" customHeight="1" x14ac:dyDescent="0.3">
      <c r="A54" s="1"/>
      <c r="B54" s="1"/>
      <c r="C54" s="28"/>
      <c r="E54" s="1"/>
      <c r="F54" s="1"/>
      <c r="G54" s="1"/>
      <c r="H54" s="1"/>
      <c r="I54" s="1"/>
      <c r="J54" s="1"/>
      <c r="K54" s="5"/>
      <c r="L54" s="1"/>
    </row>
    <row r="55" spans="1:12" s="2" customFormat="1" ht="51" customHeight="1" x14ac:dyDescent="0.3">
      <c r="A55" s="1"/>
      <c r="B55" s="1"/>
      <c r="C55" s="28"/>
      <c r="E55" s="1"/>
      <c r="F55" s="1"/>
      <c r="G55" s="1"/>
      <c r="H55" s="1"/>
      <c r="I55" s="1"/>
      <c r="J55" s="1"/>
      <c r="K55" s="5"/>
      <c r="L55" s="1"/>
    </row>
  </sheetData>
  <autoFilter ref="A1:K37" xr:uid="{AECC6E71-D28E-4DEC-90E2-87CA68CAD0AB}"/>
  <pageMargins left="0.7" right="0.7" top="0.75" bottom="0.75" header="0.3" footer="0.3"/>
  <pageSetup paperSize="9" orientation="portrait" r:id="rId1"/>
  <headerFooter>
    <oddHeader>&amp;CLECTURA DE MEDIDORES DE AGUA
BARRIO TRANSITORIO 13 DE MAYO&amp;RFECHA: _______________</oddHeader>
    <oddFooter>&amp;CCOMITÉ DE ADELANTO Y DESARROLLO 13 DE MAYO DE ANTOFAGASTA
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 ETAPA</vt:lpstr>
      <vt:lpstr>II ETAPA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Turpie</dc:creator>
  <cp:lastModifiedBy>Mohammed sabra</cp:lastModifiedBy>
  <cp:lastPrinted>2025-05-26T03:17:59Z</cp:lastPrinted>
  <dcterms:created xsi:type="dcterms:W3CDTF">2023-05-29T19:15:17Z</dcterms:created>
  <dcterms:modified xsi:type="dcterms:W3CDTF">2026-03-06T12:39:15Z</dcterms:modified>
</cp:coreProperties>
</file>