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ocuments\OFICINA\ATHOS\DEUDAS VECINOS\2025\AGUA\CALCULO PAGO\2025\DICIEMBRE\"/>
    </mc:Choice>
  </mc:AlternateContent>
  <xr:revisionPtr revIDLastSave="0" documentId="13_ncr:1_{1B70AADB-B432-42D9-BF4C-61539BA1EF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CIEMBRE" sheetId="1" r:id="rId1"/>
  </sheets>
  <definedNames>
    <definedName name="_xlnm._FilterDatabase" localSheetId="0" hidden="1">DICIEMBRE!$A$1:$D$43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1" l="1"/>
  <c r="C49" i="1"/>
  <c r="J46" i="1"/>
  <c r="F45" i="1"/>
  <c r="I46" i="1" l="1"/>
  <c r="F3" i="1" l="1"/>
  <c r="H3" i="1" s="1"/>
  <c r="K3" i="1" s="1"/>
  <c r="F4" i="1"/>
  <c r="H4" i="1" s="1"/>
  <c r="K4" i="1" s="1"/>
  <c r="F5" i="1"/>
  <c r="H5" i="1" s="1"/>
  <c r="K5" i="1" s="1"/>
  <c r="F6" i="1"/>
  <c r="H6" i="1" s="1"/>
  <c r="K6" i="1" s="1"/>
  <c r="F7" i="1"/>
  <c r="H7" i="1" s="1"/>
  <c r="K7" i="1" s="1"/>
  <c r="F8" i="1"/>
  <c r="H8" i="1" s="1"/>
  <c r="K8" i="1" s="1"/>
  <c r="F9" i="1"/>
  <c r="H9" i="1" s="1"/>
  <c r="K9" i="1" s="1"/>
  <c r="F10" i="1"/>
  <c r="H10" i="1" s="1"/>
  <c r="K10" i="1" s="1"/>
  <c r="F11" i="1"/>
  <c r="H11" i="1" s="1"/>
  <c r="K11" i="1" s="1"/>
  <c r="F12" i="1"/>
  <c r="H12" i="1" s="1"/>
  <c r="K12" i="1" s="1"/>
  <c r="F13" i="1"/>
  <c r="H13" i="1" s="1"/>
  <c r="K13" i="1" s="1"/>
  <c r="F14" i="1"/>
  <c r="H14" i="1" s="1"/>
  <c r="K14" i="1" s="1"/>
  <c r="F15" i="1"/>
  <c r="H15" i="1" s="1"/>
  <c r="K15" i="1" s="1"/>
  <c r="F16" i="1"/>
  <c r="H16" i="1" s="1"/>
  <c r="K16" i="1" s="1"/>
  <c r="F17" i="1"/>
  <c r="H17" i="1" s="1"/>
  <c r="K17" i="1" s="1"/>
  <c r="F18" i="1"/>
  <c r="H18" i="1" s="1"/>
  <c r="K18" i="1" s="1"/>
  <c r="F19" i="1"/>
  <c r="K19" i="1" s="1"/>
  <c r="F20" i="1"/>
  <c r="H20" i="1" s="1"/>
  <c r="K20" i="1" s="1"/>
  <c r="F21" i="1"/>
  <c r="H21" i="1" s="1"/>
  <c r="K21" i="1" s="1"/>
  <c r="F22" i="1"/>
  <c r="H22" i="1" s="1"/>
  <c r="K22" i="1" s="1"/>
  <c r="F23" i="1"/>
  <c r="H23" i="1" s="1"/>
  <c r="K23" i="1" s="1"/>
  <c r="F24" i="1"/>
  <c r="H24" i="1" s="1"/>
  <c r="K24" i="1" s="1"/>
  <c r="F25" i="1"/>
  <c r="H25" i="1" s="1"/>
  <c r="K25" i="1" s="1"/>
  <c r="F26" i="1"/>
  <c r="H26" i="1" s="1"/>
  <c r="K26" i="1" s="1"/>
  <c r="F27" i="1"/>
  <c r="H27" i="1" s="1"/>
  <c r="K27" i="1" s="1"/>
  <c r="F28" i="1"/>
  <c r="H28" i="1" s="1"/>
  <c r="K28" i="1" s="1"/>
  <c r="F29" i="1"/>
  <c r="H29" i="1" s="1"/>
  <c r="K29" i="1" s="1"/>
  <c r="F30" i="1"/>
  <c r="H30" i="1" s="1"/>
  <c r="K30" i="1" s="1"/>
  <c r="F31" i="1"/>
  <c r="H31" i="1" s="1"/>
  <c r="K31" i="1" s="1"/>
  <c r="F32" i="1"/>
  <c r="H32" i="1" s="1"/>
  <c r="K32" i="1" s="1"/>
  <c r="F33" i="1"/>
  <c r="H33" i="1" s="1"/>
  <c r="K33" i="1" s="1"/>
  <c r="F34" i="1"/>
  <c r="H34" i="1" s="1"/>
  <c r="K34" i="1" s="1"/>
  <c r="F35" i="1"/>
  <c r="H35" i="1" s="1"/>
  <c r="K35" i="1" s="1"/>
  <c r="F36" i="1"/>
  <c r="H36" i="1" s="1"/>
  <c r="K36" i="1" s="1"/>
  <c r="F37" i="1"/>
  <c r="H37" i="1" s="1"/>
  <c r="K37" i="1" s="1"/>
  <c r="F38" i="1"/>
  <c r="H38" i="1" s="1"/>
  <c r="K38" i="1" s="1"/>
  <c r="F39" i="1"/>
  <c r="H39" i="1" s="1"/>
  <c r="K39" i="1" s="1"/>
  <c r="F40" i="1"/>
  <c r="H40" i="1" s="1"/>
  <c r="K40" i="1" s="1"/>
  <c r="F41" i="1"/>
  <c r="H41" i="1" s="1"/>
  <c r="K41" i="1" s="1"/>
  <c r="F42" i="1"/>
  <c r="H42" i="1" s="1"/>
  <c r="K42" i="1" s="1"/>
  <c r="F43" i="1"/>
  <c r="H43" i="1" s="1"/>
  <c r="K43" i="1" s="1"/>
  <c r="F44" i="1"/>
  <c r="H44" i="1" s="1"/>
  <c r="K44" i="1" s="1"/>
  <c r="F2" i="1"/>
  <c r="F46" i="1" l="1"/>
  <c r="H2" i="1"/>
  <c r="H46" i="1" s="1"/>
  <c r="D51" i="1" l="1"/>
  <c r="D52" i="1" s="1"/>
  <c r="K2" i="1"/>
  <c r="K45" i="1" s="1"/>
</calcChain>
</file>

<file path=xl/sharedStrings.xml><?xml version="1.0" encoding="utf-8"?>
<sst xmlns="http://schemas.openxmlformats.org/spreadsheetml/2006/main" count="63" uniqueCount="63">
  <si>
    <t>CASA</t>
  </si>
  <si>
    <t>SANDRA JANNINA ARMIJOS BONILLA</t>
  </si>
  <si>
    <t>KAREN ROCIO BALERIANO ORTIZ</t>
  </si>
  <si>
    <t>LINA YOANA ARIAS GUAPIZ</t>
  </si>
  <si>
    <t>FELIX ASPRILLA IBARQUEN</t>
  </si>
  <si>
    <t>AUREA CASTILLO QUIÑONES</t>
  </si>
  <si>
    <t>CARLA GABRIELA ZAMORA VERA</t>
  </si>
  <si>
    <t>ANGIE TATIANA ANGULO</t>
  </si>
  <si>
    <t>YORLI ANGULO QUIÑONES</t>
  </si>
  <si>
    <t>MARITZA MORAN MANCILLA</t>
  </si>
  <si>
    <t>PAULA VANESSA CHALA OROBIO</t>
  </si>
  <si>
    <t>ADELFA CAMAYO DAGUA</t>
  </si>
  <si>
    <t>JESÚS MARTÍNEZ ARBODELA MANCILLA</t>
  </si>
  <si>
    <t>ENRIQUE FAVIAN ZAMORA LINARES</t>
  </si>
  <si>
    <t>BETY CAMAYO MARTINEZ</t>
  </si>
  <si>
    <t xml:space="preserve">RAFAELA ROMERO OBREGON </t>
  </si>
  <si>
    <t>DAYANA MONTENEGRO ALDANA</t>
  </si>
  <si>
    <t>FRANKY MAURICIO CANDELO QUINTERO</t>
  </si>
  <si>
    <t>JOSÉ BERNARDO PULIDO CASTRILLÓN</t>
  </si>
  <si>
    <t>NILSON CUAMA VICTORIA</t>
  </si>
  <si>
    <t>RICARDO ANDRES BELTRAN DUQUE</t>
  </si>
  <si>
    <t>EDWIN FELIPE CORREA</t>
  </si>
  <si>
    <t>OFICINA</t>
  </si>
  <si>
    <t>WALTER ARTURO DÍAZ ROJAS</t>
  </si>
  <si>
    <t>LEIDY TATIANA DUARTE DÍAZ</t>
  </si>
  <si>
    <t>JOEL LUCIO CARTAGENA TIRINA</t>
  </si>
  <si>
    <t>MARTA TABORDA GONZALEZ</t>
  </si>
  <si>
    <t>YHAMILED GONZALEZ PARRA</t>
  </si>
  <si>
    <t>BERNARDINA ESPINOZA VELAZQUEZ</t>
  </si>
  <si>
    <t>GARITA</t>
  </si>
  <si>
    <t>SALA DE BASURA</t>
  </si>
  <si>
    <t>LECTURA ACTUAL</t>
  </si>
  <si>
    <t>NOMBRE DEL TITULAR DE LA VIVIENDA</t>
  </si>
  <si>
    <t xml:space="preserve">MOHAMMED SABRA </t>
  </si>
  <si>
    <t>Jhovanna Mamani Vecerra</t>
  </si>
  <si>
    <t>Daniel Pino Nova</t>
  </si>
  <si>
    <t>Ana Achu</t>
  </si>
  <si>
    <t>Remunda Sanchez Martinez</t>
  </si>
  <si>
    <t>Nahir Humazo</t>
  </si>
  <si>
    <t xml:space="preserve">Emiliana Torejon Condori </t>
  </si>
  <si>
    <t xml:space="preserve">SIN ASIGNAR </t>
  </si>
  <si>
    <t>ROSA DE LA CRUZ</t>
  </si>
  <si>
    <t>HILDA RAMIREZ</t>
  </si>
  <si>
    <t xml:space="preserve">LECTURA ANTERIOR </t>
  </si>
  <si>
    <t>REMARCARDOR PRINCIPAL</t>
  </si>
  <si>
    <t>PAULA SERNA CASSOS</t>
  </si>
  <si>
    <t>CONSUMO DE AGUA M3</t>
  </si>
  <si>
    <t>VALOR DE M3</t>
  </si>
  <si>
    <t>SUBTOTAL</t>
  </si>
  <si>
    <t>CONSUMO GENERAL</t>
  </si>
  <si>
    <t>GASTO COMUN</t>
  </si>
  <si>
    <t>LEIDY APONTE ROMÁN</t>
  </si>
  <si>
    <t>CARGO FIJO</t>
  </si>
  <si>
    <t>SUB TOTAL</t>
  </si>
  <si>
    <t>DIFERENCIA SUBTOTAL Y BOLETA</t>
  </si>
  <si>
    <t>CARGO CONSUMO GENERAL</t>
  </si>
  <si>
    <t>TOTAL A PAGAR</t>
  </si>
  <si>
    <t>N° REMARCADOR</t>
  </si>
  <si>
    <t>DARYOLI MARBELLA MALAVE SANDOVAL</t>
  </si>
  <si>
    <t>CONSUMO 66 M3</t>
  </si>
  <si>
    <t>CONSUMO PUNTA 275 M3</t>
  </si>
  <si>
    <t>TOTAL DICIEMBRE</t>
  </si>
  <si>
    <t>METROS CUBICOS EN TOTAL 341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</si>
</sst>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Arial Narrow"/>
      <family val="2"/>
    </font>
    <font>
      <b/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42" fontId="2" fillId="0" borderId="0" xfId="1" applyFont="1" applyFill="1" applyBorder="1" applyAlignment="1">
      <alignment horizontal="center"/>
    </xf>
    <xf numFmtId="42" fontId="2" fillId="0" borderId="0" xfId="0" applyNumberFormat="1" applyFont="1"/>
    <xf numFmtId="42" fontId="2" fillId="0" borderId="0" xfId="1" applyFont="1" applyFill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42" fontId="2" fillId="0" borderId="0" xfId="0" applyNumberFormat="1" applyFont="1" applyAlignment="1">
      <alignment vertical="center"/>
    </xf>
    <xf numFmtId="42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2" fillId="0" borderId="1" xfId="1" applyNumberFormat="1" applyFont="1" applyFill="1" applyBorder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42" fontId="5" fillId="0" borderId="0" xfId="1" applyFont="1" applyFill="1" applyAlignment="1">
      <alignment vertical="center"/>
    </xf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42" fontId="2" fillId="0" borderId="0" xfId="1" applyFont="1"/>
    <xf numFmtId="0" fontId="2" fillId="0" borderId="0" xfId="0" applyFont="1" applyBorder="1" applyAlignment="1">
      <alignment horizontal="right"/>
    </xf>
    <xf numFmtId="42" fontId="5" fillId="0" borderId="0" xfId="0" applyNumberFormat="1" applyFont="1" applyBorder="1"/>
    <xf numFmtId="42" fontId="2" fillId="0" borderId="0" xfId="1" applyFont="1" applyFill="1" applyBorder="1"/>
    <xf numFmtId="42" fontId="2" fillId="0" borderId="0" xfId="0" applyNumberFormat="1" applyFont="1" applyBorder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1AC2A27-2549-46DC-9171-F6096F92ACE4}">
  <we:reference id="wa200005271" version="2.5.5.0" store="es-E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CC927DD-13EE-4A2D-B28B-56E3BF4F3C02}">
  <we:reference id="wa200006009" version="2.1.0.10" store="es-ES" storeType="OMEX"/>
  <we:alternateReferences>
    <we:reference id="WA200006009" version="2.1.0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showGridLines="0" tabSelected="1" showRuler="0" zoomScale="70" zoomScaleNormal="70" zoomScaleSheetLayoutView="80" zoomScalePageLayoutView="136" workbookViewId="0">
      <pane ySplit="1" topLeftCell="A2" activePane="bottomLeft" state="frozen"/>
      <selection pane="bottomLeft" activeCell="P2" sqref="P2"/>
    </sheetView>
  </sheetViews>
  <sheetFormatPr baseColWidth="10" defaultColWidth="14.44140625" defaultRowHeight="51" customHeight="1" x14ac:dyDescent="0.3"/>
  <cols>
    <col min="1" max="1" width="7.77734375" style="1" customWidth="1"/>
    <col min="2" max="2" width="37.5546875" style="1" bestFit="1" customWidth="1"/>
    <col min="3" max="3" width="11.109375" style="1" bestFit="1" customWidth="1"/>
    <col min="4" max="4" width="14.88671875" style="2" customWidth="1"/>
    <col min="5" max="5" width="11.77734375" style="1" customWidth="1"/>
    <col min="6" max="6" width="17.33203125" style="1" customWidth="1"/>
    <col min="7" max="7" width="11.21875" style="1" bestFit="1" customWidth="1"/>
    <col min="8" max="8" width="13.88671875" style="1" bestFit="1" customWidth="1"/>
    <col min="9" max="9" width="14.44140625" style="1"/>
    <col min="10" max="10" width="11.109375" style="1" bestFit="1" customWidth="1"/>
    <col min="11" max="11" width="18.21875" style="1" bestFit="1" customWidth="1"/>
    <col min="12" max="16384" width="14.44140625" style="1"/>
  </cols>
  <sheetData>
    <row r="1" spans="1:12" ht="51" customHeight="1" x14ac:dyDescent="0.3">
      <c r="A1" s="14" t="s">
        <v>0</v>
      </c>
      <c r="B1" s="14" t="s">
        <v>32</v>
      </c>
      <c r="C1" s="25" t="s">
        <v>57</v>
      </c>
      <c r="D1" s="14" t="s">
        <v>43</v>
      </c>
      <c r="E1" s="14" t="s">
        <v>31</v>
      </c>
      <c r="F1" s="14" t="s">
        <v>46</v>
      </c>
      <c r="G1" s="26" t="s">
        <v>47</v>
      </c>
      <c r="H1" s="16" t="s">
        <v>48</v>
      </c>
      <c r="I1" s="14" t="s">
        <v>49</v>
      </c>
      <c r="J1" s="14" t="s">
        <v>50</v>
      </c>
      <c r="K1" s="14" t="s">
        <v>56</v>
      </c>
    </row>
    <row r="2" spans="1:12" ht="51" customHeight="1" x14ac:dyDescent="0.3">
      <c r="A2" s="15">
        <v>1</v>
      </c>
      <c r="B2" s="17" t="s">
        <v>1</v>
      </c>
      <c r="C2" s="27">
        <v>106122</v>
      </c>
      <c r="D2" s="18">
        <v>26.608000000000001</v>
      </c>
      <c r="E2" s="18">
        <v>46.225000000000001</v>
      </c>
      <c r="F2" s="18">
        <f>E2-D2</f>
        <v>19.617000000000001</v>
      </c>
      <c r="G2" s="18">
        <v>2197.4</v>
      </c>
      <c r="H2" s="19">
        <f>F2*G2</f>
        <v>43106.395800000006</v>
      </c>
      <c r="I2" s="19"/>
      <c r="J2" s="19">
        <v>7000</v>
      </c>
      <c r="K2" s="19">
        <f>H2+I2+J2</f>
        <v>50106.395800000006</v>
      </c>
    </row>
    <row r="3" spans="1:12" ht="51" customHeight="1" x14ac:dyDescent="0.3">
      <c r="A3" s="15">
        <v>2</v>
      </c>
      <c r="B3" s="17" t="s">
        <v>2</v>
      </c>
      <c r="C3" s="27">
        <v>106124</v>
      </c>
      <c r="D3" s="18">
        <v>11.157</v>
      </c>
      <c r="E3" s="18">
        <v>18.359000000000002</v>
      </c>
      <c r="F3" s="18">
        <f t="shared" ref="F3:F45" si="0">E3-D3</f>
        <v>7.2020000000000017</v>
      </c>
      <c r="G3" s="18">
        <v>2197.4</v>
      </c>
      <c r="H3" s="19">
        <f>F3*G3</f>
        <v>15825.674800000004</v>
      </c>
      <c r="I3" s="19"/>
      <c r="J3" s="19">
        <v>7000</v>
      </c>
      <c r="K3" s="19">
        <f t="shared" ref="K3:K44" si="1">H3+I3+J3</f>
        <v>22825.674800000004</v>
      </c>
    </row>
    <row r="4" spans="1:12" ht="51" customHeight="1" x14ac:dyDescent="0.3">
      <c r="A4" s="15">
        <v>3</v>
      </c>
      <c r="B4" s="17" t="s">
        <v>3</v>
      </c>
      <c r="C4" s="27">
        <v>106126</v>
      </c>
      <c r="D4" s="18">
        <v>7.9829999999999997</v>
      </c>
      <c r="E4" s="18">
        <v>14.715</v>
      </c>
      <c r="F4" s="18">
        <f t="shared" si="0"/>
        <v>6.7320000000000002</v>
      </c>
      <c r="G4" s="18">
        <v>2197.4</v>
      </c>
      <c r="H4" s="19">
        <f t="shared" ref="H4:H44" si="2">F4*G4</f>
        <v>14792.8968</v>
      </c>
      <c r="I4" s="19"/>
      <c r="J4" s="19">
        <v>7000</v>
      </c>
      <c r="K4" s="19">
        <f t="shared" si="1"/>
        <v>21792.896800000002</v>
      </c>
    </row>
    <row r="5" spans="1:12" ht="51" customHeight="1" x14ac:dyDescent="0.3">
      <c r="A5" s="15">
        <v>7</v>
      </c>
      <c r="B5" s="17" t="s">
        <v>4</v>
      </c>
      <c r="C5" s="27">
        <v>106132</v>
      </c>
      <c r="D5" s="18">
        <v>11.621</v>
      </c>
      <c r="E5" s="18">
        <v>20.401</v>
      </c>
      <c r="F5" s="18">
        <f t="shared" si="0"/>
        <v>8.7799999999999994</v>
      </c>
      <c r="G5" s="18">
        <v>2197.4</v>
      </c>
      <c r="H5" s="19">
        <f t="shared" si="2"/>
        <v>19293.171999999999</v>
      </c>
      <c r="I5" s="19"/>
      <c r="J5" s="19">
        <v>7000</v>
      </c>
      <c r="K5" s="19">
        <f t="shared" si="1"/>
        <v>26293.171999999999</v>
      </c>
    </row>
    <row r="6" spans="1:12" ht="51" customHeight="1" x14ac:dyDescent="0.3">
      <c r="A6" s="15">
        <v>10</v>
      </c>
      <c r="B6" s="17" t="s">
        <v>5</v>
      </c>
      <c r="C6" s="27">
        <v>106224</v>
      </c>
      <c r="D6" s="18">
        <v>35.305</v>
      </c>
      <c r="E6" s="18">
        <v>59.564999999999998</v>
      </c>
      <c r="F6" s="18">
        <f t="shared" si="0"/>
        <v>24.259999999999998</v>
      </c>
      <c r="G6" s="18">
        <v>2197.4</v>
      </c>
      <c r="H6" s="19">
        <f t="shared" si="2"/>
        <v>53308.923999999999</v>
      </c>
      <c r="I6" s="19"/>
      <c r="J6" s="19">
        <v>7000</v>
      </c>
      <c r="K6" s="19">
        <f t="shared" si="1"/>
        <v>60308.923999999999</v>
      </c>
    </row>
    <row r="7" spans="1:12" ht="51" customHeight="1" x14ac:dyDescent="0.3">
      <c r="A7" s="15">
        <v>11</v>
      </c>
      <c r="B7" s="17" t="s">
        <v>6</v>
      </c>
      <c r="C7" s="27">
        <v>104750</v>
      </c>
      <c r="D7" s="18">
        <v>38.472000000000001</v>
      </c>
      <c r="E7" s="18">
        <v>64.763000000000005</v>
      </c>
      <c r="F7" s="18">
        <f t="shared" si="0"/>
        <v>26.291000000000004</v>
      </c>
      <c r="G7" s="18">
        <v>2197.4</v>
      </c>
      <c r="H7" s="19">
        <f t="shared" si="2"/>
        <v>57771.843400000012</v>
      </c>
      <c r="I7" s="19"/>
      <c r="J7" s="19">
        <v>7000</v>
      </c>
      <c r="K7" s="19">
        <f t="shared" si="1"/>
        <v>64771.843400000012</v>
      </c>
    </row>
    <row r="8" spans="1:12" ht="51" customHeight="1" x14ac:dyDescent="0.3">
      <c r="A8" s="15">
        <v>12</v>
      </c>
      <c r="B8" s="17" t="s">
        <v>7</v>
      </c>
      <c r="C8" s="27">
        <v>104761</v>
      </c>
      <c r="D8" s="18">
        <v>1.893</v>
      </c>
      <c r="E8" s="18">
        <v>2.992</v>
      </c>
      <c r="F8" s="18">
        <f t="shared" si="0"/>
        <v>1.099</v>
      </c>
      <c r="G8" s="18">
        <v>2197.4</v>
      </c>
      <c r="H8" s="19">
        <f t="shared" si="2"/>
        <v>2414.9425999999999</v>
      </c>
      <c r="I8" s="19"/>
      <c r="J8" s="19">
        <v>7000</v>
      </c>
      <c r="K8" s="19">
        <f t="shared" si="1"/>
        <v>9414.9426000000003</v>
      </c>
    </row>
    <row r="9" spans="1:12" ht="51" customHeight="1" x14ac:dyDescent="0.3">
      <c r="A9" s="15">
        <v>13</v>
      </c>
      <c r="B9" s="17" t="s">
        <v>8</v>
      </c>
      <c r="C9" s="27">
        <v>106226</v>
      </c>
      <c r="D9" s="18">
        <v>14.743</v>
      </c>
      <c r="E9" s="18">
        <v>20.622</v>
      </c>
      <c r="F9" s="18">
        <f t="shared" si="0"/>
        <v>5.8789999999999996</v>
      </c>
      <c r="G9" s="18">
        <v>2197.4</v>
      </c>
      <c r="H9" s="19">
        <f t="shared" si="2"/>
        <v>12918.5146</v>
      </c>
      <c r="I9" s="19"/>
      <c r="J9" s="19">
        <v>7000</v>
      </c>
      <c r="K9" s="19">
        <f>H9+I9+J9-360</f>
        <v>19558.514600000002</v>
      </c>
      <c r="L9" s="13"/>
    </row>
    <row r="10" spans="1:12" ht="51" customHeight="1" x14ac:dyDescent="0.3">
      <c r="A10" s="15">
        <v>14</v>
      </c>
      <c r="B10" s="17" t="s">
        <v>9</v>
      </c>
      <c r="C10" s="27">
        <v>104746</v>
      </c>
      <c r="D10" s="18">
        <v>18.510000000000002</v>
      </c>
      <c r="E10" s="18">
        <v>28.835000000000001</v>
      </c>
      <c r="F10" s="18">
        <f t="shared" si="0"/>
        <v>10.324999999999999</v>
      </c>
      <c r="G10" s="18">
        <v>2197.4</v>
      </c>
      <c r="H10" s="19">
        <f t="shared" si="2"/>
        <v>22688.154999999999</v>
      </c>
      <c r="I10" s="19"/>
      <c r="J10" s="19">
        <v>7000</v>
      </c>
      <c r="K10" s="19">
        <f>H10+I10+J10+245</f>
        <v>29933.154999999999</v>
      </c>
      <c r="L10" s="13"/>
    </row>
    <row r="11" spans="1:12" ht="51" customHeight="1" x14ac:dyDescent="0.3">
      <c r="A11" s="15">
        <v>15</v>
      </c>
      <c r="B11" s="17" t="s">
        <v>10</v>
      </c>
      <c r="C11" s="27">
        <v>104744</v>
      </c>
      <c r="D11" s="18">
        <v>11.161</v>
      </c>
      <c r="E11" s="18">
        <v>15.871</v>
      </c>
      <c r="F11" s="18">
        <f t="shared" si="0"/>
        <v>4.7100000000000009</v>
      </c>
      <c r="G11" s="18">
        <v>2197.4</v>
      </c>
      <c r="H11" s="19">
        <f t="shared" si="2"/>
        <v>10349.754000000003</v>
      </c>
      <c r="I11" s="19"/>
      <c r="J11" s="19">
        <v>7000</v>
      </c>
      <c r="K11" s="19">
        <f t="shared" si="1"/>
        <v>17349.754000000001</v>
      </c>
    </row>
    <row r="12" spans="1:12" ht="51" customHeight="1" x14ac:dyDescent="0.3">
      <c r="A12" s="15">
        <v>16</v>
      </c>
      <c r="B12" s="17" t="s">
        <v>11</v>
      </c>
      <c r="C12" s="27">
        <v>104747</v>
      </c>
      <c r="D12" s="18">
        <v>35.134</v>
      </c>
      <c r="E12" s="18">
        <v>57.378</v>
      </c>
      <c r="F12" s="18">
        <f t="shared" si="0"/>
        <v>22.244</v>
      </c>
      <c r="G12" s="18">
        <v>2197.4</v>
      </c>
      <c r="H12" s="19">
        <f t="shared" si="2"/>
        <v>48878.965600000003</v>
      </c>
      <c r="I12" s="19"/>
      <c r="J12" s="19">
        <v>7000</v>
      </c>
      <c r="K12" s="19">
        <f t="shared" si="1"/>
        <v>55878.965600000003</v>
      </c>
    </row>
    <row r="13" spans="1:12" ht="51" customHeight="1" x14ac:dyDescent="0.3">
      <c r="A13" s="15">
        <v>17</v>
      </c>
      <c r="B13" s="17" t="s">
        <v>12</v>
      </c>
      <c r="C13" s="27">
        <v>104748</v>
      </c>
      <c r="D13" s="18">
        <v>4.1609999999999996</v>
      </c>
      <c r="E13" s="18">
        <v>6.891</v>
      </c>
      <c r="F13" s="18">
        <f t="shared" si="0"/>
        <v>2.7300000000000004</v>
      </c>
      <c r="G13" s="18">
        <v>2197.4</v>
      </c>
      <c r="H13" s="19">
        <f t="shared" si="2"/>
        <v>5998.902000000001</v>
      </c>
      <c r="I13" s="19"/>
      <c r="J13" s="19">
        <v>7000</v>
      </c>
      <c r="K13" s="19">
        <f t="shared" si="1"/>
        <v>12998.902000000002</v>
      </c>
    </row>
    <row r="14" spans="1:12" ht="51" customHeight="1" x14ac:dyDescent="0.3">
      <c r="A14" s="15">
        <v>18</v>
      </c>
      <c r="B14" s="17" t="s">
        <v>58</v>
      </c>
      <c r="C14" s="27">
        <v>104770</v>
      </c>
      <c r="D14" s="18">
        <v>11.925000000000001</v>
      </c>
      <c r="E14" s="18">
        <v>19.498999999999999</v>
      </c>
      <c r="F14" s="18">
        <f t="shared" si="0"/>
        <v>7.5739999999999981</v>
      </c>
      <c r="G14" s="18">
        <v>2197.4</v>
      </c>
      <c r="H14" s="19">
        <f t="shared" si="2"/>
        <v>16643.107599999996</v>
      </c>
      <c r="I14" s="19"/>
      <c r="J14" s="19">
        <v>7000</v>
      </c>
      <c r="K14" s="19">
        <f t="shared" si="1"/>
        <v>23643.107599999996</v>
      </c>
    </row>
    <row r="15" spans="1:12" ht="51" customHeight="1" x14ac:dyDescent="0.3">
      <c r="A15" s="15">
        <v>19</v>
      </c>
      <c r="B15" s="17" t="s">
        <v>13</v>
      </c>
      <c r="C15" s="27">
        <v>104741</v>
      </c>
      <c r="D15" s="18">
        <v>3.3319999999999999</v>
      </c>
      <c r="E15" s="18">
        <v>4.8159999999999998</v>
      </c>
      <c r="F15" s="18">
        <f t="shared" si="0"/>
        <v>1.484</v>
      </c>
      <c r="G15" s="18">
        <v>2197.4</v>
      </c>
      <c r="H15" s="19">
        <f t="shared" si="2"/>
        <v>3260.9416000000001</v>
      </c>
      <c r="I15" s="19"/>
      <c r="J15" s="19">
        <v>7000</v>
      </c>
      <c r="K15" s="19">
        <f t="shared" si="1"/>
        <v>10260.9416</v>
      </c>
    </row>
    <row r="16" spans="1:12" ht="51" customHeight="1" x14ac:dyDescent="0.3">
      <c r="A16" s="15">
        <v>20</v>
      </c>
      <c r="B16" s="17" t="s">
        <v>14</v>
      </c>
      <c r="C16" s="27">
        <v>106223</v>
      </c>
      <c r="D16" s="18">
        <v>11.084</v>
      </c>
      <c r="E16" s="18">
        <v>15.989000000000001</v>
      </c>
      <c r="F16" s="18">
        <f t="shared" si="0"/>
        <v>4.9050000000000011</v>
      </c>
      <c r="G16" s="18">
        <v>2197.4</v>
      </c>
      <c r="H16" s="19">
        <f t="shared" si="2"/>
        <v>10778.247000000003</v>
      </c>
      <c r="I16" s="19"/>
      <c r="J16" s="19">
        <v>7000</v>
      </c>
      <c r="K16" s="19">
        <f t="shared" si="1"/>
        <v>17778.247000000003</v>
      </c>
    </row>
    <row r="17" spans="1:11" ht="51" customHeight="1" x14ac:dyDescent="0.3">
      <c r="A17" s="15">
        <v>21</v>
      </c>
      <c r="B17" s="17" t="s">
        <v>15</v>
      </c>
      <c r="C17" s="27">
        <v>106230</v>
      </c>
      <c r="D17" s="18">
        <v>6.7309999999999999</v>
      </c>
      <c r="E17" s="18">
        <v>10.105</v>
      </c>
      <c r="F17" s="18">
        <f t="shared" si="0"/>
        <v>3.3740000000000006</v>
      </c>
      <c r="G17" s="18">
        <v>2197.4</v>
      </c>
      <c r="H17" s="19">
        <f t="shared" si="2"/>
        <v>7414.0276000000013</v>
      </c>
      <c r="I17" s="19"/>
      <c r="J17" s="19">
        <v>7000</v>
      </c>
      <c r="K17" s="19">
        <f t="shared" si="1"/>
        <v>14414.027600000001</v>
      </c>
    </row>
    <row r="18" spans="1:11" ht="51" customHeight="1" x14ac:dyDescent="0.3">
      <c r="A18" s="15">
        <v>22</v>
      </c>
      <c r="B18" s="17" t="s">
        <v>16</v>
      </c>
      <c r="C18" s="27">
        <v>106136</v>
      </c>
      <c r="D18" s="18">
        <v>3.4660000000000002</v>
      </c>
      <c r="E18" s="18">
        <v>4.8949999999999996</v>
      </c>
      <c r="F18" s="18">
        <f t="shared" si="0"/>
        <v>1.4289999999999994</v>
      </c>
      <c r="G18" s="18">
        <v>2197.4</v>
      </c>
      <c r="H18" s="19">
        <f t="shared" si="2"/>
        <v>3140.0845999999988</v>
      </c>
      <c r="I18" s="19"/>
      <c r="J18" s="19">
        <v>7000</v>
      </c>
      <c r="K18" s="19">
        <f t="shared" si="1"/>
        <v>10140.084599999998</v>
      </c>
    </row>
    <row r="19" spans="1:11" ht="51" customHeight="1" x14ac:dyDescent="0.3">
      <c r="A19" s="15">
        <v>23</v>
      </c>
      <c r="B19" s="17" t="s">
        <v>17</v>
      </c>
      <c r="C19" s="27">
        <v>106225</v>
      </c>
      <c r="D19" s="18">
        <v>1.27</v>
      </c>
      <c r="E19" s="18">
        <v>1.27</v>
      </c>
      <c r="F19" s="18">
        <f t="shared" si="0"/>
        <v>0</v>
      </c>
      <c r="G19" s="18">
        <v>2197.4</v>
      </c>
      <c r="H19" s="19">
        <f t="shared" si="2"/>
        <v>0</v>
      </c>
      <c r="I19" s="19"/>
      <c r="J19" s="19">
        <v>7000</v>
      </c>
      <c r="K19" s="19">
        <f t="shared" si="1"/>
        <v>7000</v>
      </c>
    </row>
    <row r="20" spans="1:11" ht="51" customHeight="1" x14ac:dyDescent="0.3">
      <c r="A20" s="15">
        <v>25</v>
      </c>
      <c r="B20" s="17" t="s">
        <v>18</v>
      </c>
      <c r="C20" s="27">
        <v>104745</v>
      </c>
      <c r="D20" s="18">
        <v>23.837</v>
      </c>
      <c r="E20" s="18">
        <v>38.774000000000001</v>
      </c>
      <c r="F20" s="18">
        <f t="shared" si="0"/>
        <v>14.937000000000001</v>
      </c>
      <c r="G20" s="18">
        <v>2197.4</v>
      </c>
      <c r="H20" s="19">
        <f t="shared" si="2"/>
        <v>32822.563800000004</v>
      </c>
      <c r="I20" s="19"/>
      <c r="J20" s="19">
        <v>7000</v>
      </c>
      <c r="K20" s="19">
        <f t="shared" si="1"/>
        <v>39822.563800000004</v>
      </c>
    </row>
    <row r="21" spans="1:11" ht="51" customHeight="1" x14ac:dyDescent="0.3">
      <c r="A21" s="15">
        <v>26</v>
      </c>
      <c r="B21" s="17" t="s">
        <v>19</v>
      </c>
      <c r="C21" s="27">
        <v>104743</v>
      </c>
      <c r="D21" s="18">
        <v>39.960999999999999</v>
      </c>
      <c r="E21" s="18">
        <v>66.230999999999995</v>
      </c>
      <c r="F21" s="18">
        <f t="shared" si="0"/>
        <v>26.269999999999996</v>
      </c>
      <c r="G21" s="18">
        <v>2197.4</v>
      </c>
      <c r="H21" s="19">
        <f t="shared" si="2"/>
        <v>57725.697999999997</v>
      </c>
      <c r="I21" s="19"/>
      <c r="J21" s="19">
        <v>7000</v>
      </c>
      <c r="K21" s="19">
        <f t="shared" si="1"/>
        <v>64725.697999999997</v>
      </c>
    </row>
    <row r="22" spans="1:11" ht="51" customHeight="1" x14ac:dyDescent="0.3">
      <c r="A22" s="15">
        <v>27</v>
      </c>
      <c r="B22" s="17" t="s">
        <v>20</v>
      </c>
      <c r="C22" s="27">
        <v>104749</v>
      </c>
      <c r="D22" s="18">
        <v>7.8259999999999996</v>
      </c>
      <c r="E22" s="18">
        <v>13.95</v>
      </c>
      <c r="F22" s="18">
        <f t="shared" si="0"/>
        <v>6.1239999999999997</v>
      </c>
      <c r="G22" s="18">
        <v>2197.4</v>
      </c>
      <c r="H22" s="19">
        <f t="shared" si="2"/>
        <v>13456.8776</v>
      </c>
      <c r="I22" s="19"/>
      <c r="J22" s="19">
        <v>7000</v>
      </c>
      <c r="K22" s="19">
        <f t="shared" si="1"/>
        <v>20456.8776</v>
      </c>
    </row>
    <row r="23" spans="1:11" s="2" customFormat="1" ht="51" customHeight="1" x14ac:dyDescent="0.3">
      <c r="A23" s="15">
        <v>28</v>
      </c>
      <c r="B23" s="17" t="s">
        <v>21</v>
      </c>
      <c r="C23" s="27">
        <v>104742</v>
      </c>
      <c r="D23" s="18">
        <v>2.6859999999999999</v>
      </c>
      <c r="E23" s="18">
        <v>4.1449999999999996</v>
      </c>
      <c r="F23" s="18">
        <f t="shared" si="0"/>
        <v>1.4589999999999996</v>
      </c>
      <c r="G23" s="18">
        <v>2197.4</v>
      </c>
      <c r="H23" s="19">
        <f t="shared" si="2"/>
        <v>3206.0065999999993</v>
      </c>
      <c r="I23" s="19"/>
      <c r="J23" s="19">
        <v>7000</v>
      </c>
      <c r="K23" s="19">
        <f t="shared" si="1"/>
        <v>10206.006599999999</v>
      </c>
    </row>
    <row r="24" spans="1:11" s="2" customFormat="1" ht="51" customHeight="1" x14ac:dyDescent="0.3">
      <c r="A24" s="15">
        <v>73</v>
      </c>
      <c r="B24" s="17" t="s">
        <v>33</v>
      </c>
      <c r="C24" s="27">
        <v>106221</v>
      </c>
      <c r="D24" s="18">
        <v>8.2409999999999997</v>
      </c>
      <c r="E24" s="18">
        <v>17.376999999999999</v>
      </c>
      <c r="F24" s="18">
        <f t="shared" si="0"/>
        <v>9.1359999999999992</v>
      </c>
      <c r="G24" s="18">
        <v>2197.4</v>
      </c>
      <c r="H24" s="19">
        <f t="shared" si="2"/>
        <v>20075.446400000001</v>
      </c>
      <c r="I24" s="19"/>
      <c r="J24" s="19">
        <v>7000</v>
      </c>
      <c r="K24" s="19">
        <f t="shared" si="1"/>
        <v>27075.446400000001</v>
      </c>
    </row>
    <row r="25" spans="1:11" s="2" customFormat="1" ht="51" customHeight="1" x14ac:dyDescent="0.3">
      <c r="A25" s="15">
        <v>74</v>
      </c>
      <c r="B25" s="18" t="s">
        <v>34</v>
      </c>
      <c r="C25" s="27">
        <v>106229</v>
      </c>
      <c r="D25" s="18">
        <v>8.3480000000000008</v>
      </c>
      <c r="E25" s="18">
        <v>14.77</v>
      </c>
      <c r="F25" s="18">
        <f t="shared" si="0"/>
        <v>6.4219999999999988</v>
      </c>
      <c r="G25" s="18">
        <v>2197.4</v>
      </c>
      <c r="H25" s="19">
        <f t="shared" si="2"/>
        <v>14111.702799999997</v>
      </c>
      <c r="I25" s="19"/>
      <c r="J25" s="19">
        <v>7000</v>
      </c>
      <c r="K25" s="19">
        <f t="shared" si="1"/>
        <v>21111.702799999999</v>
      </c>
    </row>
    <row r="26" spans="1:11" s="2" customFormat="1" ht="51" customHeight="1" x14ac:dyDescent="0.3">
      <c r="A26" s="15">
        <v>75</v>
      </c>
      <c r="B26" s="17" t="s">
        <v>40</v>
      </c>
      <c r="C26" s="27">
        <v>106135</v>
      </c>
      <c r="D26" s="18">
        <v>0.159</v>
      </c>
      <c r="E26" s="18">
        <v>0.159</v>
      </c>
      <c r="F26" s="18">
        <f t="shared" si="0"/>
        <v>0</v>
      </c>
      <c r="G26" s="18">
        <v>2197.4</v>
      </c>
      <c r="H26" s="19">
        <f t="shared" si="2"/>
        <v>0</v>
      </c>
      <c r="I26" s="19"/>
      <c r="J26" s="19"/>
      <c r="K26" s="19">
        <f t="shared" si="1"/>
        <v>0</v>
      </c>
    </row>
    <row r="27" spans="1:11" s="2" customFormat="1" ht="51" customHeight="1" x14ac:dyDescent="0.3">
      <c r="A27" s="15">
        <v>76</v>
      </c>
      <c r="B27" s="20" t="s">
        <v>35</v>
      </c>
      <c r="C27" s="27">
        <v>106137</v>
      </c>
      <c r="D27" s="18">
        <v>4.6260000000000003</v>
      </c>
      <c r="E27" s="18">
        <v>7.01</v>
      </c>
      <c r="F27" s="18">
        <f t="shared" si="0"/>
        <v>2.3839999999999995</v>
      </c>
      <c r="G27" s="18">
        <v>2197.4</v>
      </c>
      <c r="H27" s="19">
        <f t="shared" si="2"/>
        <v>5238.6015999999991</v>
      </c>
      <c r="I27" s="19"/>
      <c r="J27" s="19">
        <v>7000</v>
      </c>
      <c r="K27" s="19">
        <f t="shared" si="1"/>
        <v>12238.601599999998</v>
      </c>
    </row>
    <row r="28" spans="1:11" s="2" customFormat="1" ht="51" customHeight="1" x14ac:dyDescent="0.3">
      <c r="A28" s="15">
        <v>77</v>
      </c>
      <c r="B28" s="21" t="s">
        <v>36</v>
      </c>
      <c r="C28" s="27">
        <v>106140</v>
      </c>
      <c r="D28" s="18">
        <v>12.068</v>
      </c>
      <c r="E28" s="18">
        <v>19.797999999999998</v>
      </c>
      <c r="F28" s="18">
        <f t="shared" si="0"/>
        <v>7.7299999999999986</v>
      </c>
      <c r="G28" s="18">
        <v>2197.4</v>
      </c>
      <c r="H28" s="19">
        <f t="shared" si="2"/>
        <v>16985.901999999998</v>
      </c>
      <c r="I28" s="19"/>
      <c r="J28" s="19">
        <v>7000</v>
      </c>
      <c r="K28" s="19">
        <f t="shared" si="1"/>
        <v>23985.901999999998</v>
      </c>
    </row>
    <row r="29" spans="1:11" s="2" customFormat="1" ht="51" customHeight="1" x14ac:dyDescent="0.3">
      <c r="A29" s="15">
        <v>78</v>
      </c>
      <c r="B29" s="20" t="s">
        <v>37</v>
      </c>
      <c r="C29" s="27">
        <v>106228</v>
      </c>
      <c r="D29" s="18">
        <v>7.3879999999999999</v>
      </c>
      <c r="E29" s="18">
        <v>12.042999999999999</v>
      </c>
      <c r="F29" s="18">
        <f t="shared" si="0"/>
        <v>4.6549999999999994</v>
      </c>
      <c r="G29" s="18">
        <v>2197.4</v>
      </c>
      <c r="H29" s="19">
        <f t="shared" si="2"/>
        <v>10228.896999999999</v>
      </c>
      <c r="I29" s="19"/>
      <c r="J29" s="19">
        <v>7000</v>
      </c>
      <c r="K29" s="19">
        <f t="shared" si="1"/>
        <v>17228.896999999997</v>
      </c>
    </row>
    <row r="30" spans="1:11" s="2" customFormat="1" ht="51" customHeight="1" x14ac:dyDescent="0.3">
      <c r="A30" s="15">
        <v>79</v>
      </c>
      <c r="B30" s="18" t="s">
        <v>42</v>
      </c>
      <c r="C30" s="27">
        <v>106139</v>
      </c>
      <c r="D30" s="18">
        <v>10.156000000000001</v>
      </c>
      <c r="E30" s="18">
        <v>17.151</v>
      </c>
      <c r="F30" s="18">
        <f t="shared" si="0"/>
        <v>6.9949999999999992</v>
      </c>
      <c r="G30" s="18">
        <v>2197.4</v>
      </c>
      <c r="H30" s="19">
        <f t="shared" si="2"/>
        <v>15370.812999999998</v>
      </c>
      <c r="I30" s="19"/>
      <c r="J30" s="19">
        <v>7000</v>
      </c>
      <c r="K30" s="19">
        <f t="shared" si="1"/>
        <v>22370.812999999998</v>
      </c>
    </row>
    <row r="31" spans="1:11" s="2" customFormat="1" ht="51" customHeight="1" x14ac:dyDescent="0.3">
      <c r="A31" s="15">
        <v>80</v>
      </c>
      <c r="B31" s="20" t="s">
        <v>38</v>
      </c>
      <c r="C31" s="27">
        <v>106227</v>
      </c>
      <c r="D31" s="18">
        <v>9.3119999999999994</v>
      </c>
      <c r="E31" s="18">
        <v>19.908999999999999</v>
      </c>
      <c r="F31" s="18">
        <f t="shared" si="0"/>
        <v>10.597</v>
      </c>
      <c r="G31" s="18">
        <v>2197.4</v>
      </c>
      <c r="H31" s="19">
        <f t="shared" si="2"/>
        <v>23285.8478</v>
      </c>
      <c r="I31" s="19"/>
      <c r="J31" s="19">
        <v>7000</v>
      </c>
      <c r="K31" s="19">
        <f t="shared" si="1"/>
        <v>30285.8478</v>
      </c>
    </row>
    <row r="32" spans="1:11" s="2" customFormat="1" ht="51" customHeight="1" x14ac:dyDescent="0.3">
      <c r="A32" s="15">
        <v>81</v>
      </c>
      <c r="B32" s="17" t="s">
        <v>41</v>
      </c>
      <c r="C32" s="27">
        <v>106131</v>
      </c>
      <c r="D32" s="18">
        <v>17.571999999999999</v>
      </c>
      <c r="E32" s="18">
        <v>30.393999999999998</v>
      </c>
      <c r="F32" s="18">
        <f t="shared" si="0"/>
        <v>12.821999999999999</v>
      </c>
      <c r="G32" s="18">
        <v>2197.4</v>
      </c>
      <c r="H32" s="19">
        <f t="shared" si="2"/>
        <v>28175.0628</v>
      </c>
      <c r="I32" s="19"/>
      <c r="J32" s="19">
        <v>7000</v>
      </c>
      <c r="K32" s="19">
        <f t="shared" si="1"/>
        <v>35175.0628</v>
      </c>
    </row>
    <row r="33" spans="1:12" s="2" customFormat="1" ht="51" customHeight="1" x14ac:dyDescent="0.3">
      <c r="A33" s="15">
        <v>82</v>
      </c>
      <c r="B33" s="20" t="s">
        <v>39</v>
      </c>
      <c r="C33" s="27">
        <v>106138</v>
      </c>
      <c r="D33" s="18">
        <v>3.44</v>
      </c>
      <c r="E33" s="18">
        <v>4.9820000000000002</v>
      </c>
      <c r="F33" s="18">
        <f t="shared" si="0"/>
        <v>1.5420000000000003</v>
      </c>
      <c r="G33" s="18">
        <v>2197.4</v>
      </c>
      <c r="H33" s="19">
        <f t="shared" si="2"/>
        <v>3388.3908000000006</v>
      </c>
      <c r="I33" s="19"/>
      <c r="J33" s="19">
        <v>7000</v>
      </c>
      <c r="K33" s="19">
        <f t="shared" si="1"/>
        <v>10388.390800000001</v>
      </c>
    </row>
    <row r="34" spans="1:12" s="2" customFormat="1" ht="51" customHeight="1" x14ac:dyDescent="0.3">
      <c r="A34" s="15">
        <v>83</v>
      </c>
      <c r="B34" s="17" t="s">
        <v>22</v>
      </c>
      <c r="C34" s="27">
        <v>106222</v>
      </c>
      <c r="D34" s="18">
        <v>7.968</v>
      </c>
      <c r="E34" s="18">
        <v>11.253</v>
      </c>
      <c r="F34" s="18">
        <f t="shared" si="0"/>
        <v>3.2850000000000001</v>
      </c>
      <c r="G34" s="18">
        <v>2197.4</v>
      </c>
      <c r="H34" s="19">
        <f t="shared" si="2"/>
        <v>7218.4590000000007</v>
      </c>
      <c r="I34" s="19"/>
      <c r="J34" s="19">
        <v>7000</v>
      </c>
      <c r="K34" s="19">
        <f t="shared" si="1"/>
        <v>14218.459000000001</v>
      </c>
    </row>
    <row r="35" spans="1:12" s="2" customFormat="1" ht="51" customHeight="1" x14ac:dyDescent="0.3">
      <c r="A35" s="15">
        <v>84</v>
      </c>
      <c r="B35" s="17" t="s">
        <v>28</v>
      </c>
      <c r="C35" s="27">
        <v>106123</v>
      </c>
      <c r="D35" s="18">
        <v>6.9109999999999996</v>
      </c>
      <c r="E35" s="18">
        <v>10.206</v>
      </c>
      <c r="F35" s="18">
        <f t="shared" si="0"/>
        <v>3.2949999999999999</v>
      </c>
      <c r="G35" s="18">
        <v>2197.4</v>
      </c>
      <c r="H35" s="19">
        <f t="shared" si="2"/>
        <v>7240.433</v>
      </c>
      <c r="I35" s="19"/>
      <c r="J35" s="19">
        <v>7000</v>
      </c>
      <c r="K35" s="19">
        <f t="shared" si="1"/>
        <v>14240.433000000001</v>
      </c>
    </row>
    <row r="36" spans="1:12" ht="51" customHeight="1" x14ac:dyDescent="0.3">
      <c r="A36" s="15">
        <v>85</v>
      </c>
      <c r="B36" s="17" t="s">
        <v>27</v>
      </c>
      <c r="C36" s="27">
        <v>106134</v>
      </c>
      <c r="D36" s="18">
        <v>27.248000000000001</v>
      </c>
      <c r="E36" s="18">
        <v>42.325000000000003</v>
      </c>
      <c r="F36" s="18">
        <f t="shared" si="0"/>
        <v>15.077000000000002</v>
      </c>
      <c r="G36" s="18">
        <v>2197.4</v>
      </c>
      <c r="H36" s="19">
        <f t="shared" si="2"/>
        <v>33130.199800000002</v>
      </c>
      <c r="I36" s="19"/>
      <c r="J36" s="19">
        <v>7000</v>
      </c>
      <c r="K36" s="19">
        <f t="shared" si="1"/>
        <v>40130.199800000002</v>
      </c>
      <c r="L36" s="2"/>
    </row>
    <row r="37" spans="1:12" ht="51" customHeight="1" x14ac:dyDescent="0.3">
      <c r="A37" s="15">
        <v>86</v>
      </c>
      <c r="B37" s="17" t="s">
        <v>26</v>
      </c>
      <c r="C37" s="27">
        <v>106125</v>
      </c>
      <c r="D37" s="18">
        <v>10.753</v>
      </c>
      <c r="E37" s="18">
        <v>18.03</v>
      </c>
      <c r="F37" s="18">
        <f t="shared" si="0"/>
        <v>7.277000000000001</v>
      </c>
      <c r="G37" s="18">
        <v>2197.4</v>
      </c>
      <c r="H37" s="19">
        <f t="shared" si="2"/>
        <v>15990.479800000003</v>
      </c>
      <c r="I37" s="19"/>
      <c r="J37" s="19">
        <v>7000</v>
      </c>
      <c r="K37" s="19">
        <f t="shared" si="1"/>
        <v>22990.479800000001</v>
      </c>
    </row>
    <row r="38" spans="1:12" ht="51" customHeight="1" x14ac:dyDescent="0.3">
      <c r="A38" s="15">
        <v>87</v>
      </c>
      <c r="B38" s="17" t="s">
        <v>25</v>
      </c>
      <c r="C38" s="27">
        <v>106133</v>
      </c>
      <c r="D38" s="18">
        <v>9.4559999999999995</v>
      </c>
      <c r="E38" s="18">
        <v>15.323</v>
      </c>
      <c r="F38" s="18">
        <f t="shared" si="0"/>
        <v>5.8670000000000009</v>
      </c>
      <c r="G38" s="18">
        <v>2197.4</v>
      </c>
      <c r="H38" s="19">
        <f t="shared" si="2"/>
        <v>12892.145800000002</v>
      </c>
      <c r="I38" s="19"/>
      <c r="J38" s="19">
        <v>7000</v>
      </c>
      <c r="K38" s="19">
        <f t="shared" si="1"/>
        <v>19892.145800000002</v>
      </c>
      <c r="L38" s="2"/>
    </row>
    <row r="39" spans="1:12" ht="51" customHeight="1" x14ac:dyDescent="0.3">
      <c r="A39" s="15">
        <v>88</v>
      </c>
      <c r="B39" s="17" t="s">
        <v>45</v>
      </c>
      <c r="C39" s="27">
        <v>106127</v>
      </c>
      <c r="D39" s="18">
        <v>13.827</v>
      </c>
      <c r="E39" s="18">
        <v>27.631</v>
      </c>
      <c r="F39" s="18">
        <f t="shared" si="0"/>
        <v>13.804</v>
      </c>
      <c r="G39" s="18">
        <v>2197.4</v>
      </c>
      <c r="H39" s="19">
        <f t="shared" si="2"/>
        <v>30332.909600000003</v>
      </c>
      <c r="I39" s="19"/>
      <c r="J39" s="19">
        <v>7000</v>
      </c>
      <c r="K39" s="19">
        <f t="shared" si="1"/>
        <v>37332.909599999999</v>
      </c>
    </row>
    <row r="40" spans="1:12" ht="51" customHeight="1" x14ac:dyDescent="0.3">
      <c r="A40" s="15">
        <v>89</v>
      </c>
      <c r="B40" s="17" t="s">
        <v>24</v>
      </c>
      <c r="C40" s="27">
        <v>106128</v>
      </c>
      <c r="D40" s="18">
        <v>28.114000000000001</v>
      </c>
      <c r="E40" s="18">
        <v>47.307000000000002</v>
      </c>
      <c r="F40" s="18">
        <f t="shared" si="0"/>
        <v>19.193000000000001</v>
      </c>
      <c r="G40" s="18">
        <v>2197.4</v>
      </c>
      <c r="H40" s="19">
        <f t="shared" si="2"/>
        <v>42174.698200000006</v>
      </c>
      <c r="I40" s="19"/>
      <c r="J40" s="19">
        <v>7000</v>
      </c>
      <c r="K40" s="19">
        <f t="shared" si="1"/>
        <v>49174.698200000006</v>
      </c>
      <c r="L40" s="2"/>
    </row>
    <row r="41" spans="1:12" ht="51" customHeight="1" x14ac:dyDescent="0.3">
      <c r="A41" s="15">
        <v>90</v>
      </c>
      <c r="B41" s="17" t="s">
        <v>23</v>
      </c>
      <c r="C41" s="27">
        <v>106129</v>
      </c>
      <c r="D41" s="18">
        <v>3.9609999999999999</v>
      </c>
      <c r="E41" s="18">
        <v>9.0920000000000005</v>
      </c>
      <c r="F41" s="18">
        <f t="shared" si="0"/>
        <v>5.1310000000000002</v>
      </c>
      <c r="G41" s="18">
        <v>2197.4</v>
      </c>
      <c r="H41" s="19">
        <f t="shared" si="2"/>
        <v>11274.859400000001</v>
      </c>
      <c r="I41" s="19"/>
      <c r="J41" s="19">
        <v>7000</v>
      </c>
      <c r="K41" s="19">
        <f t="shared" si="1"/>
        <v>18274.859400000001</v>
      </c>
      <c r="L41" s="2"/>
    </row>
    <row r="42" spans="1:12" ht="51" customHeight="1" x14ac:dyDescent="0.3">
      <c r="A42" s="15">
        <v>91</v>
      </c>
      <c r="B42" s="18" t="s">
        <v>51</v>
      </c>
      <c r="C42" s="27">
        <v>106130</v>
      </c>
      <c r="D42" s="18">
        <v>15.368</v>
      </c>
      <c r="E42" s="18">
        <v>24.725000000000001</v>
      </c>
      <c r="F42" s="18">
        <f t="shared" si="0"/>
        <v>9.3570000000000011</v>
      </c>
      <c r="G42" s="18">
        <v>2197.4</v>
      </c>
      <c r="H42" s="19">
        <f t="shared" si="2"/>
        <v>20561.071800000002</v>
      </c>
      <c r="I42" s="19"/>
      <c r="J42" s="19">
        <v>7000</v>
      </c>
      <c r="K42" s="19">
        <f t="shared" si="1"/>
        <v>27561.071800000002</v>
      </c>
      <c r="L42" s="2"/>
    </row>
    <row r="43" spans="1:12" ht="51" customHeight="1" x14ac:dyDescent="0.3">
      <c r="A43" s="15">
        <v>92</v>
      </c>
      <c r="B43" s="17" t="s">
        <v>29</v>
      </c>
      <c r="C43" s="27">
        <v>106121</v>
      </c>
      <c r="D43" s="18">
        <v>0.21099999999999999</v>
      </c>
      <c r="E43" s="18">
        <v>0.21099999999999999</v>
      </c>
      <c r="F43" s="18">
        <f t="shared" si="0"/>
        <v>0</v>
      </c>
      <c r="G43" s="18">
        <v>2197.4</v>
      </c>
      <c r="H43" s="19">
        <f>F43*G43</f>
        <v>0</v>
      </c>
      <c r="I43" s="19"/>
      <c r="J43" s="19">
        <v>0</v>
      </c>
      <c r="K43" s="19">
        <f t="shared" si="1"/>
        <v>0</v>
      </c>
    </row>
    <row r="44" spans="1:12" ht="51" customHeight="1" x14ac:dyDescent="0.3">
      <c r="A44" s="15">
        <v>92</v>
      </c>
      <c r="B44" s="17" t="s">
        <v>30</v>
      </c>
      <c r="C44" s="27">
        <v>105148</v>
      </c>
      <c r="D44" s="18">
        <v>3.1880000000000002</v>
      </c>
      <c r="E44" s="18">
        <v>6.4139999999999997</v>
      </c>
      <c r="F44" s="18">
        <f t="shared" si="0"/>
        <v>3.2259999999999995</v>
      </c>
      <c r="G44" s="18">
        <v>2197.4</v>
      </c>
      <c r="H44" s="19">
        <f t="shared" si="2"/>
        <v>7088.8123999999989</v>
      </c>
      <c r="I44" s="19"/>
      <c r="J44" s="19">
        <v>0</v>
      </c>
      <c r="K44" s="19">
        <f t="shared" si="1"/>
        <v>7088.8123999999989</v>
      </c>
    </row>
    <row r="45" spans="1:12" ht="51" customHeight="1" x14ac:dyDescent="0.3">
      <c r="A45" s="22"/>
      <c r="B45" s="18" t="s">
        <v>44</v>
      </c>
      <c r="C45" s="27"/>
      <c r="D45" s="18">
        <v>531.70399999999995</v>
      </c>
      <c r="E45" s="18">
        <v>890.50699999999995</v>
      </c>
      <c r="F45" s="18">
        <f t="shared" si="0"/>
        <v>358.803</v>
      </c>
      <c r="G45" s="18"/>
      <c r="H45" s="19"/>
      <c r="I45" s="19"/>
      <c r="J45" s="19"/>
      <c r="K45" s="19">
        <f>SUM(K2:K44)</f>
        <v>1060445.4280000001</v>
      </c>
    </row>
    <row r="46" spans="1:12" ht="51" customHeight="1" x14ac:dyDescent="0.3">
      <c r="B46" s="30" t="s">
        <v>52</v>
      </c>
      <c r="C46" s="32">
        <v>1522</v>
      </c>
      <c r="F46" s="24">
        <f>SUM(F2:F44)</f>
        <v>355.21999999999997</v>
      </c>
      <c r="G46" s="7" t="s">
        <v>53</v>
      </c>
      <c r="H46" s="23">
        <f>SUM(H2:H44)</f>
        <v>780560.42800000019</v>
      </c>
      <c r="I46" s="9">
        <f>SUM(I2:I45)</f>
        <v>0</v>
      </c>
      <c r="J46" s="29">
        <f>SUM(J2:J42)</f>
        <v>280000</v>
      </c>
    </row>
    <row r="47" spans="1:12" ht="51" customHeight="1" x14ac:dyDescent="0.3">
      <c r="B47" s="30" t="s">
        <v>59</v>
      </c>
      <c r="C47" s="32">
        <v>145064</v>
      </c>
      <c r="G47" s="8"/>
      <c r="H47" s="10"/>
    </row>
    <row r="48" spans="1:12" ht="51" customHeight="1" x14ac:dyDescent="0.3">
      <c r="B48" s="30" t="s">
        <v>60</v>
      </c>
      <c r="C48" s="33">
        <v>604434</v>
      </c>
      <c r="G48" s="11"/>
      <c r="H48" s="9"/>
      <c r="J48" s="5"/>
    </row>
    <row r="49" spans="2:10" ht="51" customHeight="1" x14ac:dyDescent="0.3">
      <c r="B49" s="30" t="s">
        <v>61</v>
      </c>
      <c r="C49" s="31">
        <f>SUM(C46:C48)</f>
        <v>751020</v>
      </c>
      <c r="G49" s="11"/>
      <c r="H49" s="9"/>
      <c r="J49" s="5"/>
    </row>
    <row r="50" spans="2:10" ht="51" customHeight="1" x14ac:dyDescent="0.3">
      <c r="B50" s="30" t="s">
        <v>62</v>
      </c>
      <c r="C50" s="31"/>
      <c r="G50" s="11"/>
      <c r="H50" s="9"/>
      <c r="J50" s="5"/>
    </row>
    <row r="51" spans="2:10" ht="51" customHeight="1" x14ac:dyDescent="0.3">
      <c r="B51" s="12" t="s">
        <v>54</v>
      </c>
      <c r="C51" s="28"/>
      <c r="D51" s="3">
        <f>C48-H46</f>
        <v>-176126.42800000019</v>
      </c>
    </row>
    <row r="52" spans="2:10" ht="51" customHeight="1" x14ac:dyDescent="0.3">
      <c r="B52" s="12" t="s">
        <v>55</v>
      </c>
      <c r="C52" s="28"/>
      <c r="D52" s="4">
        <f>D51/43</f>
        <v>-4095.9634418604696</v>
      </c>
      <c r="I52" s="6"/>
    </row>
    <row r="53" spans="2:10" ht="51" customHeight="1" x14ac:dyDescent="0.3">
      <c r="C53" s="28"/>
    </row>
    <row r="54" spans="2:10" ht="51" customHeight="1" x14ac:dyDescent="0.3">
      <c r="C54" s="28"/>
    </row>
    <row r="55" spans="2:10" ht="51" customHeight="1" x14ac:dyDescent="0.3">
      <c r="C55" s="28"/>
    </row>
    <row r="56" spans="2:10" ht="51" customHeight="1" x14ac:dyDescent="0.3">
      <c r="C56" s="28"/>
    </row>
    <row r="57" spans="2:10" ht="51" customHeight="1" x14ac:dyDescent="0.3">
      <c r="C57" s="28"/>
    </row>
    <row r="58" spans="2:10" ht="51" customHeight="1" x14ac:dyDescent="0.3">
      <c r="C58" s="28"/>
    </row>
    <row r="59" spans="2:10" ht="51" customHeight="1" x14ac:dyDescent="0.3">
      <c r="C59" s="28"/>
    </row>
    <row r="60" spans="2:10" ht="51" customHeight="1" x14ac:dyDescent="0.3">
      <c r="C60" s="28"/>
    </row>
    <row r="61" spans="2:10" ht="51" customHeight="1" x14ac:dyDescent="0.3">
      <c r="C61" s="28"/>
    </row>
    <row r="62" spans="2:10" ht="51" customHeight="1" x14ac:dyDescent="0.3">
      <c r="C62" s="28"/>
    </row>
    <row r="63" spans="2:10" ht="51" customHeight="1" x14ac:dyDescent="0.3">
      <c r="C63" s="28"/>
    </row>
    <row r="64" spans="2:10" ht="51" customHeight="1" x14ac:dyDescent="0.3">
      <c r="C64" s="28"/>
    </row>
    <row r="65" spans="3:3" ht="51" customHeight="1" x14ac:dyDescent="0.3">
      <c r="C65" s="28"/>
    </row>
    <row r="66" spans="3:3" ht="51" customHeight="1" x14ac:dyDescent="0.3">
      <c r="C66" s="28"/>
    </row>
    <row r="67" spans="3:3" ht="51" customHeight="1" x14ac:dyDescent="0.3">
      <c r="C67" s="28"/>
    </row>
    <row r="68" spans="3:3" ht="51" customHeight="1" x14ac:dyDescent="0.3">
      <c r="C68" s="28"/>
    </row>
    <row r="69" spans="3:3" ht="51" customHeight="1" x14ac:dyDescent="0.3">
      <c r="C69" s="28"/>
    </row>
    <row r="70" spans="3:3" ht="51" customHeight="1" x14ac:dyDescent="0.3">
      <c r="C70" s="28"/>
    </row>
  </sheetData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Turpie</dc:creator>
  <cp:lastModifiedBy>Cris Tina</cp:lastModifiedBy>
  <cp:lastPrinted>2025-05-26T03:17:59Z</cp:lastPrinted>
  <dcterms:created xsi:type="dcterms:W3CDTF">2023-05-29T19:15:17Z</dcterms:created>
  <dcterms:modified xsi:type="dcterms:W3CDTF">2026-01-02T19:22:56Z</dcterms:modified>
</cp:coreProperties>
</file>