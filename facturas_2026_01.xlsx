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6\"/>
    </mc:Choice>
  </mc:AlternateContent>
  <xr:revisionPtr revIDLastSave="0" documentId="8_{CC7FF2E2-3E4F-43B0-A115-BA4890D1AD7E}" xr6:coauthVersionLast="47" xr6:coauthVersionMax="47" xr10:uidLastSave="{00000000-0000-0000-0000-000000000000}"/>
  <bookViews>
    <workbookView xWindow="-108" yWindow="-108" windowWidth="23256" windowHeight="12456" xr2:uid="{C3A36949-2997-4FAE-BBB8-4392CF107112}"/>
  </bookViews>
  <sheets>
    <sheet name="PLATAFORMA" sheetId="2" r:id="rId1"/>
  </sheets>
  <definedNames>
    <definedName name="_xlnm._FilterDatabase" localSheetId="0" hidden="1">PLATAFORMA!$A$1:$K$1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8" i="2" l="1"/>
  <c r="H88" i="2" s="1"/>
  <c r="K88" i="2" s="1"/>
  <c r="F87" i="2"/>
  <c r="H87" i="2" s="1"/>
  <c r="K87" i="2" s="1"/>
  <c r="F86" i="2"/>
  <c r="H86" i="2" s="1"/>
  <c r="K86" i="2" s="1"/>
  <c r="F85" i="2"/>
  <c r="H85" i="2" s="1"/>
  <c r="K85" i="2" s="1"/>
  <c r="F84" i="2"/>
  <c r="H84" i="2" s="1"/>
  <c r="K84" i="2" s="1"/>
  <c r="F83" i="2"/>
  <c r="H83" i="2" s="1"/>
  <c r="K83" i="2" s="1"/>
  <c r="F82" i="2"/>
  <c r="H82" i="2" s="1"/>
  <c r="K82" i="2" s="1"/>
  <c r="F81" i="2"/>
  <c r="H81" i="2" s="1"/>
  <c r="K81" i="2" s="1"/>
  <c r="F80" i="2"/>
  <c r="H80" i="2" s="1"/>
  <c r="K80" i="2" s="1"/>
  <c r="F79" i="2"/>
  <c r="H79" i="2" s="1"/>
  <c r="K79" i="2" s="1"/>
  <c r="F78" i="2"/>
  <c r="H78" i="2" s="1"/>
  <c r="K78" i="2" s="1"/>
  <c r="F77" i="2"/>
  <c r="H77" i="2" s="1"/>
  <c r="K77" i="2" s="1"/>
  <c r="F76" i="2"/>
  <c r="H76" i="2" s="1"/>
  <c r="K76" i="2" s="1"/>
  <c r="F75" i="2"/>
  <c r="H75" i="2" s="1"/>
  <c r="K75" i="2" s="1"/>
  <c r="F74" i="2"/>
  <c r="H74" i="2" s="1"/>
  <c r="K74" i="2" s="1"/>
  <c r="F73" i="2"/>
  <c r="H73" i="2" s="1"/>
  <c r="K73" i="2" s="1"/>
  <c r="F72" i="2"/>
  <c r="H72" i="2" s="1"/>
  <c r="K72" i="2" s="1"/>
  <c r="F71" i="2"/>
  <c r="H71" i="2" s="1"/>
  <c r="K71" i="2" s="1"/>
  <c r="F70" i="2"/>
  <c r="H70" i="2" s="1"/>
  <c r="K70" i="2" s="1"/>
  <c r="F69" i="2"/>
  <c r="H69" i="2" s="1"/>
  <c r="K69" i="2" s="1"/>
  <c r="F68" i="2"/>
  <c r="H68" i="2" s="1"/>
  <c r="K68" i="2" s="1"/>
  <c r="K67" i="2"/>
  <c r="F67" i="2"/>
  <c r="H67" i="2" s="1"/>
  <c r="K66" i="2"/>
  <c r="F66" i="2"/>
  <c r="H66" i="2" s="1"/>
  <c r="K65" i="2"/>
  <c r="F65" i="2"/>
  <c r="H65" i="2" s="1"/>
  <c r="K64" i="2"/>
  <c r="F64" i="2"/>
  <c r="H64" i="2" s="1"/>
  <c r="K63" i="2"/>
  <c r="F63" i="2"/>
  <c r="H63" i="2" s="1"/>
  <c r="K62" i="2"/>
  <c r="F62" i="2"/>
  <c r="H62" i="2" s="1"/>
  <c r="K61" i="2"/>
  <c r="F61" i="2"/>
  <c r="H61" i="2" s="1"/>
  <c r="K60" i="2"/>
  <c r="H60" i="2"/>
  <c r="F60" i="2"/>
  <c r="K59" i="2"/>
  <c r="F59" i="2"/>
  <c r="H59" i="2" s="1"/>
  <c r="K58" i="2"/>
  <c r="F58" i="2"/>
  <c r="H58" i="2" s="1"/>
  <c r="K57" i="2"/>
  <c r="F57" i="2"/>
  <c r="H57" i="2" s="1"/>
  <c r="K56" i="2"/>
  <c r="F56" i="2"/>
  <c r="H56" i="2" s="1"/>
  <c r="K55" i="2"/>
  <c r="F55" i="2"/>
  <c r="H55" i="2" s="1"/>
  <c r="K54" i="2"/>
  <c r="F54" i="2"/>
  <c r="H54" i="2" s="1"/>
  <c r="K53" i="2"/>
  <c r="F53" i="2"/>
  <c r="H53" i="2" s="1"/>
  <c r="K52" i="2"/>
  <c r="F52" i="2"/>
  <c r="H52" i="2" s="1"/>
  <c r="K51" i="2"/>
  <c r="F51" i="2"/>
  <c r="H51" i="2" s="1"/>
  <c r="K50" i="2"/>
  <c r="F50" i="2"/>
  <c r="H50" i="2" s="1"/>
  <c r="K49" i="2"/>
  <c r="F49" i="2"/>
  <c r="H49" i="2" s="1"/>
  <c r="K48" i="2"/>
  <c r="F48" i="2"/>
  <c r="H48" i="2" s="1"/>
  <c r="K47" i="2"/>
  <c r="F47" i="2"/>
  <c r="H47" i="2" s="1"/>
  <c r="K46" i="2"/>
  <c r="F46" i="2"/>
  <c r="H46" i="2" s="1"/>
  <c r="K45" i="2"/>
  <c r="F45" i="2"/>
  <c r="H45" i="2" s="1"/>
  <c r="K44" i="2"/>
  <c r="F44" i="2"/>
  <c r="H44" i="2" s="1"/>
  <c r="K43" i="2"/>
  <c r="F43" i="2"/>
  <c r="H43" i="2" s="1"/>
  <c r="K42" i="2"/>
  <c r="F42" i="2"/>
  <c r="H42" i="2" s="1"/>
  <c r="K41" i="2"/>
  <c r="F41" i="2"/>
  <c r="H41" i="2" s="1"/>
  <c r="K40" i="2"/>
  <c r="F40" i="2"/>
  <c r="H40" i="2" s="1"/>
  <c r="K39" i="2"/>
  <c r="F39" i="2"/>
  <c r="H39" i="2" s="1"/>
  <c r="K38" i="2"/>
  <c r="F38" i="2"/>
  <c r="H38" i="2" s="1"/>
  <c r="K37" i="2"/>
  <c r="F37" i="2"/>
  <c r="H37" i="2" s="1"/>
  <c r="K36" i="2"/>
  <c r="F36" i="2"/>
  <c r="H36" i="2" s="1"/>
  <c r="K35" i="2"/>
  <c r="F35" i="2"/>
  <c r="H35" i="2" s="1"/>
  <c r="K34" i="2"/>
  <c r="F34" i="2"/>
  <c r="H34" i="2" s="1"/>
  <c r="K33" i="2"/>
  <c r="F33" i="2"/>
  <c r="H33" i="2" s="1"/>
  <c r="K32" i="2"/>
  <c r="F32" i="2"/>
  <c r="H32" i="2" s="1"/>
  <c r="K31" i="2"/>
  <c r="F31" i="2"/>
  <c r="H31" i="2" s="1"/>
  <c r="K30" i="2"/>
  <c r="F30" i="2"/>
  <c r="H30" i="2" s="1"/>
  <c r="K29" i="2"/>
  <c r="F29" i="2"/>
  <c r="H29" i="2" s="1"/>
  <c r="K28" i="2"/>
  <c r="F28" i="2"/>
  <c r="H28" i="2" s="1"/>
  <c r="K27" i="2"/>
  <c r="F27" i="2"/>
  <c r="H27" i="2" s="1"/>
  <c r="K26" i="2"/>
  <c r="F26" i="2"/>
  <c r="H26" i="2" s="1"/>
  <c r="K25" i="2"/>
  <c r="F25" i="2"/>
  <c r="H25" i="2" s="1"/>
  <c r="K24" i="2"/>
  <c r="F24" i="2"/>
  <c r="H24" i="2" s="1"/>
  <c r="F23" i="2"/>
  <c r="H23" i="2" s="1"/>
  <c r="K23" i="2" s="1"/>
  <c r="F22" i="2"/>
  <c r="H22" i="2" s="1"/>
  <c r="K22" i="2" s="1"/>
  <c r="F21" i="2"/>
  <c r="H21" i="2" s="1"/>
  <c r="K21" i="2" s="1"/>
  <c r="F20" i="2"/>
  <c r="H20" i="2" s="1"/>
  <c r="K20" i="2" s="1"/>
  <c r="F19" i="2"/>
  <c r="H19" i="2" s="1"/>
  <c r="K19" i="2" s="1"/>
  <c r="F18" i="2"/>
  <c r="H18" i="2" s="1"/>
  <c r="K18" i="2" s="1"/>
  <c r="F17" i="2"/>
  <c r="H17" i="2" s="1"/>
  <c r="K17" i="2" s="1"/>
  <c r="F16" i="2"/>
  <c r="H16" i="2" s="1"/>
  <c r="K16" i="2" s="1"/>
  <c r="F15" i="2"/>
  <c r="H15" i="2" s="1"/>
  <c r="K15" i="2" s="1"/>
  <c r="F14" i="2"/>
  <c r="H14" i="2" s="1"/>
  <c r="K14" i="2" s="1"/>
  <c r="F13" i="2"/>
  <c r="H13" i="2" s="1"/>
  <c r="K13" i="2" s="1"/>
  <c r="F12" i="2"/>
  <c r="H12" i="2" s="1"/>
  <c r="K12" i="2" s="1"/>
  <c r="F11" i="2"/>
  <c r="H11" i="2" s="1"/>
  <c r="K11" i="2" s="1"/>
  <c r="F10" i="2"/>
  <c r="H10" i="2" s="1"/>
  <c r="K10" i="2" s="1"/>
  <c r="F9" i="2"/>
  <c r="H9" i="2" s="1"/>
  <c r="K9" i="2" s="1"/>
  <c r="F8" i="2"/>
  <c r="H8" i="2" s="1"/>
  <c r="K8" i="2" s="1"/>
  <c r="F7" i="2"/>
  <c r="H7" i="2" s="1"/>
  <c r="K7" i="2" s="1"/>
  <c r="F6" i="2"/>
  <c r="H6" i="2" s="1"/>
  <c r="K6" i="2" s="1"/>
  <c r="F5" i="2"/>
  <c r="H5" i="2" s="1"/>
  <c r="K5" i="2" s="1"/>
  <c r="F4" i="2"/>
  <c r="H4" i="2" s="1"/>
  <c r="K4" i="2" s="1"/>
  <c r="F3" i="2"/>
  <c r="H3" i="2" s="1"/>
  <c r="K3" i="2" s="1"/>
  <c r="F2" i="2"/>
  <c r="H2" i="2" s="1"/>
  <c r="K2" i="2" s="1"/>
</calcChain>
</file>

<file path=xl/sharedStrings.xml><?xml version="1.0" encoding="utf-8"?>
<sst xmlns="http://schemas.openxmlformats.org/spreadsheetml/2006/main" count="98" uniqueCount="86">
  <si>
    <t>CASA</t>
  </si>
  <si>
    <t>NOMBRE DEL TITULAR DE LA VIVIENDA</t>
  </si>
  <si>
    <t>N° REMARCADOR</t>
  </si>
  <si>
    <t xml:space="preserve">LECTURA ANTERIOR </t>
  </si>
  <si>
    <t>LECTURA ACTUAL</t>
  </si>
  <si>
    <t>CONSUMO DE AGUA M3</t>
  </si>
  <si>
    <t>VALOR DE M3</t>
  </si>
  <si>
    <t>SUBTOTAL</t>
  </si>
  <si>
    <t>CONSUMO GENERAL</t>
  </si>
  <si>
    <t>GASTO COMUN</t>
  </si>
  <si>
    <t>TOTAL A PAGAR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</si>
  <si>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</si>
  <si>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</si>
  <si>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</si>
  <si>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</si>
  <si>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</si>
  <si>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</si>
  <si>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</si>
  <si>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</si>
  <si>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</si>
  <si>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</si>
  <si>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</si>
  <si>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</si>
  <si>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YOLEIDA DEL CARMEN SANDOVAL BALZAN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</si>
  <si>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</si>
  <si>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</si>
  <si>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</si>
  <si>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</si>
  <si>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</si>
  <si>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</si>
  <si>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</si>
  <si>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</si>
  <si>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</si>
  <si>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TERESA NICOL CABALLERO VARGAS</t>
  </si>
  <si>
    <t>SIN ASIGNAR</t>
  </si>
  <si>
    <t>CARMEN ROSA ESPINOZA VEDIA</t>
  </si>
  <si>
    <t>SAMUEL SAIGUA PUMA</t>
  </si>
  <si>
    <t>CLAUDIA PAMELA SILVERA MAMANI</t>
  </si>
  <si>
    <t>GUILLERMO YUPARI QUISPE</t>
  </si>
  <si>
    <t>VANDALIZADA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</si>
  <si>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</si>
  <si>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</si>
  <si>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</si>
  <si>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</si>
  <si>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</si>
  <si>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</si>
  <si>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</si>
  <si>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</si>
  <si>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</si>
  <si>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</si>
  <si>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</si>
  <si>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</si>
  <si>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</si>
  <si>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</si>
  <si>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</si>
  <si>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SEDE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</si>
  <si>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</si>
  <si>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</si>
  <si>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</si>
  <si>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</si>
  <si>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</si>
  <si>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</si>
  <si>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EDGAR CAYRA YUCRA</t>
  </si>
  <si>
    <t>EPIFANIA FERNANDEZ ORTEGA</t>
  </si>
  <si>
    <t>EDGAR ROQUE CRUZ</t>
  </si>
  <si>
    <t xml:space="preserve">MOHAMMED SABRA </t>
  </si>
  <si>
    <t>JHOVANNA MAMANI VECERRA</t>
  </si>
  <si>
    <t xml:space="preserve">SIN ASIGNAR </t>
  </si>
  <si>
    <t>DANIEL PINO NOVA</t>
  </si>
  <si>
    <t>ANA ACHU</t>
  </si>
  <si>
    <t>REMUNDA SANCHEZ MARTINEZ</t>
  </si>
  <si>
    <t>HILDA RAMIREZ</t>
  </si>
  <si>
    <t>NAHIR HUMAZO</t>
  </si>
  <si>
    <t>ROSA DE LA CRUZ</t>
  </si>
  <si>
    <t>EMILIANA TORREJÓN CONDORI</t>
  </si>
  <si>
    <t>OFICINA</t>
  </si>
  <si>
    <t>BERNARDINA ESPINOZA VELAZQUEZ</t>
  </si>
  <si>
    <t>YHAMILED GONZALEZ PARRA</t>
  </si>
  <si>
    <t>MARTA TABORDA GONZALEZ</t>
  </si>
  <si>
    <t>JOEL LUCIO CARTAGENA TIRINA</t>
  </si>
  <si>
    <t>PAULA SERNA CASSOS</t>
  </si>
  <si>
    <t>LEIDY TATIANA DUARTE DÍAZ</t>
  </si>
  <si>
    <t>WALTER ARTURO DÍAZ ROJAS</t>
  </si>
  <si>
    <t>LEIDY APONTE ROMÁN</t>
  </si>
  <si>
    <t>GARITA</t>
  </si>
  <si>
    <t>SALA DE BASURA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</si>
</sst>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1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3" xfId="1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3" fillId="3" borderId="3" xfId="1" applyNumberFormat="1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0" fontId="3" fillId="4" borderId="3" xfId="1" applyNumberFormat="1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4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3">
    <cellStyle name="Moneda [0]" xfId="1" builtinId="7"/>
    <cellStyle name="Normal" xfId="0" builtinId="0"/>
    <cellStyle name="Normal 2" xfId="2" xr:uid="{EC9F3C8B-F0FC-4F1D-8E31-FCFAF897B4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2F1E-53A9-4CAE-A28F-2AB4468B990E}">
  <dimension ref="A1:K99"/>
  <sheetViews>
    <sheetView showGridLines="0" tabSelected="1" showRuler="0" zoomScale="70" zoomScaleNormal="70" zoomScaleSheetLayoutView="80" zoomScalePageLayoutView="136" workbookViewId="0">
      <pane ySplit="1" topLeftCell="A3" activePane="bottomLeft" state="frozen"/>
      <selection pane="bottomLeft" activeCell="A89" sqref="A89:XFD91"/>
    </sheetView>
  </sheetViews>
  <sheetFormatPr baseColWidth="10" defaultColWidth="14.44140625" defaultRowHeight="51" customHeight="1" x14ac:dyDescent="0.3"/>
  <cols>
    <col min="1" max="1" width="7.77734375" style="13" customWidth="1"/>
    <col min="2" max="2" width="37.5546875" style="3" bestFit="1" customWidth="1"/>
    <col min="3" max="3" width="15.88671875" style="3" customWidth="1"/>
    <col min="4" max="4" width="14.88671875" style="13" customWidth="1"/>
    <col min="5" max="5" width="11.77734375" style="3" customWidth="1"/>
    <col min="6" max="6" width="17.33203125" style="3" customWidth="1"/>
    <col min="7" max="7" width="11.21875" style="3" bestFit="1" customWidth="1"/>
    <col min="8" max="8" width="13.88671875" style="3" bestFit="1" customWidth="1"/>
    <col min="9" max="9" width="14.44140625" style="3"/>
    <col min="10" max="10" width="11.109375" style="3" bestFit="1" customWidth="1"/>
    <col min="11" max="11" width="18.21875" style="3" bestFit="1" customWidth="1"/>
    <col min="12" max="16384" width="14.44140625" style="3"/>
  </cols>
  <sheetData>
    <row r="1" spans="1:11" ht="5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ht="51" customHeight="1" x14ac:dyDescent="0.3">
      <c r="A2" s="2">
        <v>1</v>
      </c>
      <c r="B2" s="4" t="s">
        <v>11</v>
      </c>
      <c r="C2" s="5">
        <v>106122</v>
      </c>
      <c r="D2" s="6">
        <v>46.225000000000001</v>
      </c>
      <c r="E2" s="6">
        <v>62.710999999999999</v>
      </c>
      <c r="F2" s="6">
        <f>E2-D2</f>
        <v>16.485999999999997</v>
      </c>
      <c r="G2" s="6">
        <v>2197.94</v>
      </c>
      <c r="H2" s="7">
        <f>F2*G2</f>
        <v>36235.238839999998</v>
      </c>
      <c r="I2" s="7">
        <v>1073</v>
      </c>
      <c r="J2" s="7">
        <v>7000</v>
      </c>
      <c r="K2" s="7">
        <f>H2+I2+J2</f>
        <v>44308.238839999998</v>
      </c>
    </row>
    <row r="3" spans="1:11" ht="51" customHeight="1" x14ac:dyDescent="0.3">
      <c r="A3" s="2">
        <v>2</v>
      </c>
      <c r="B3" s="4" t="s">
        <v>12</v>
      </c>
      <c r="C3" s="5">
        <v>106124</v>
      </c>
      <c r="D3" s="6">
        <v>18.359000000000002</v>
      </c>
      <c r="E3" s="6">
        <v>22.548999999999999</v>
      </c>
      <c r="F3" s="6">
        <f t="shared" ref="F3:F88" si="0">E3-D3</f>
        <v>4.1899999999999977</v>
      </c>
      <c r="G3" s="6">
        <v>2197.94</v>
      </c>
      <c r="H3" s="7">
        <f>F3*G3</f>
        <v>9209.3685999999943</v>
      </c>
      <c r="I3" s="7">
        <v>1073</v>
      </c>
      <c r="J3" s="7">
        <v>7000</v>
      </c>
      <c r="K3" s="7">
        <f t="shared" ref="K3:K22" si="1">H3+I3+J3</f>
        <v>17282.368599999994</v>
      </c>
    </row>
    <row r="4" spans="1:11" ht="51" customHeight="1" x14ac:dyDescent="0.3">
      <c r="A4" s="2">
        <v>3</v>
      </c>
      <c r="B4" s="4" t="s">
        <v>13</v>
      </c>
      <c r="C4" s="5">
        <v>106126</v>
      </c>
      <c r="D4" s="6">
        <v>14.715</v>
      </c>
      <c r="E4" s="6">
        <v>20.385000000000002</v>
      </c>
      <c r="F4" s="6">
        <f t="shared" si="0"/>
        <v>5.6700000000000017</v>
      </c>
      <c r="G4" s="6">
        <v>2197.94</v>
      </c>
      <c r="H4" s="7">
        <f t="shared" ref="H4:H88" si="2">F4*G4</f>
        <v>12462.319800000005</v>
      </c>
      <c r="I4" s="7">
        <v>1073</v>
      </c>
      <c r="J4" s="7">
        <v>7000</v>
      </c>
      <c r="K4" s="7">
        <f t="shared" si="1"/>
        <v>20535.319800000005</v>
      </c>
    </row>
    <row r="5" spans="1:11" ht="51" customHeight="1" x14ac:dyDescent="0.3">
      <c r="A5" s="2">
        <v>7</v>
      </c>
      <c r="B5" s="4" t="s">
        <v>14</v>
      </c>
      <c r="C5" s="5">
        <v>106132</v>
      </c>
      <c r="D5" s="6">
        <v>20.401</v>
      </c>
      <c r="E5" s="6">
        <v>29.369</v>
      </c>
      <c r="F5" s="6">
        <f t="shared" si="0"/>
        <v>8.968</v>
      </c>
      <c r="G5" s="6">
        <v>2197.94</v>
      </c>
      <c r="H5" s="7">
        <f t="shared" si="2"/>
        <v>19711.125920000002</v>
      </c>
      <c r="I5" s="7">
        <v>1073</v>
      </c>
      <c r="J5" s="7">
        <v>7000</v>
      </c>
      <c r="K5" s="7">
        <f t="shared" si="1"/>
        <v>27784.125920000002</v>
      </c>
    </row>
    <row r="6" spans="1:11" ht="51" customHeight="1" x14ac:dyDescent="0.3">
      <c r="A6" s="2">
        <v>10</v>
      </c>
      <c r="B6" s="4" t="s">
        <v>15</v>
      </c>
      <c r="C6" s="5">
        <v>106224</v>
      </c>
      <c r="D6" s="6">
        <v>59.564999999999998</v>
      </c>
      <c r="E6" s="6">
        <v>77.295000000000002</v>
      </c>
      <c r="F6" s="6">
        <f t="shared" si="0"/>
        <v>17.730000000000004</v>
      </c>
      <c r="G6" s="6">
        <v>2197.94</v>
      </c>
      <c r="H6" s="7">
        <f t="shared" si="2"/>
        <v>38969.476200000012</v>
      </c>
      <c r="I6" s="7">
        <v>1073</v>
      </c>
      <c r="J6" s="7">
        <v>7000</v>
      </c>
      <c r="K6" s="7">
        <f t="shared" si="1"/>
        <v>47042.476200000012</v>
      </c>
    </row>
    <row r="7" spans="1:11" ht="51" customHeight="1" x14ac:dyDescent="0.3">
      <c r="A7" s="2">
        <v>11</v>
      </c>
      <c r="B7" s="4" t="s">
        <v>16</v>
      </c>
      <c r="C7" s="5">
        <v>104750</v>
      </c>
      <c r="D7" s="6">
        <v>64.763000000000005</v>
      </c>
      <c r="E7" s="6">
        <v>91.537000000000006</v>
      </c>
      <c r="F7" s="6">
        <f t="shared" si="0"/>
        <v>26.774000000000001</v>
      </c>
      <c r="G7" s="6">
        <v>2197.94</v>
      </c>
      <c r="H7" s="7">
        <f t="shared" si="2"/>
        <v>58847.645560000004</v>
      </c>
      <c r="I7" s="7">
        <v>1073</v>
      </c>
      <c r="J7" s="7">
        <v>7000</v>
      </c>
      <c r="K7" s="7">
        <f t="shared" si="1"/>
        <v>66920.645560000004</v>
      </c>
    </row>
    <row r="8" spans="1:11" ht="51" customHeight="1" x14ac:dyDescent="0.3">
      <c r="A8" s="2">
        <v>12</v>
      </c>
      <c r="B8" s="4" t="s">
        <v>17</v>
      </c>
      <c r="C8" s="5">
        <v>104761</v>
      </c>
      <c r="D8" s="6">
        <v>2.992</v>
      </c>
      <c r="E8" s="6">
        <v>3.0659999999999998</v>
      </c>
      <c r="F8" s="6">
        <f t="shared" si="0"/>
        <v>7.3999999999999844E-2</v>
      </c>
      <c r="G8" s="6">
        <v>2197.94</v>
      </c>
      <c r="H8" s="7">
        <f t="shared" si="2"/>
        <v>162.64755999999966</v>
      </c>
      <c r="I8" s="7">
        <v>1073</v>
      </c>
      <c r="J8" s="7">
        <v>7000</v>
      </c>
      <c r="K8" s="7">
        <f t="shared" si="1"/>
        <v>8235.6475599999994</v>
      </c>
    </row>
    <row r="9" spans="1:11" ht="51" customHeight="1" x14ac:dyDescent="0.3">
      <c r="A9" s="2">
        <v>13</v>
      </c>
      <c r="B9" s="4" t="s">
        <v>18</v>
      </c>
      <c r="C9" s="5">
        <v>106226</v>
      </c>
      <c r="D9" s="6">
        <v>20.622</v>
      </c>
      <c r="E9" s="6">
        <v>26.526</v>
      </c>
      <c r="F9" s="6">
        <f t="shared" si="0"/>
        <v>5.9039999999999999</v>
      </c>
      <c r="G9" s="6">
        <v>2197.94</v>
      </c>
      <c r="H9" s="7">
        <f t="shared" si="2"/>
        <v>12976.63776</v>
      </c>
      <c r="I9" s="7">
        <v>1073</v>
      </c>
      <c r="J9" s="7">
        <v>7000</v>
      </c>
      <c r="K9" s="7">
        <f>H9+I9+J9-360</f>
        <v>20689.637759999998</v>
      </c>
    </row>
    <row r="10" spans="1:11" ht="51" customHeight="1" x14ac:dyDescent="0.3">
      <c r="A10" s="2">
        <v>14</v>
      </c>
      <c r="B10" s="4" t="s">
        <v>19</v>
      </c>
      <c r="C10" s="5">
        <v>104746</v>
      </c>
      <c r="D10" s="6">
        <v>28.835000000000001</v>
      </c>
      <c r="E10" s="6">
        <v>37.643000000000001</v>
      </c>
      <c r="F10" s="6">
        <f t="shared" si="0"/>
        <v>8.8079999999999998</v>
      </c>
      <c r="G10" s="6">
        <v>2197.94</v>
      </c>
      <c r="H10" s="7">
        <f t="shared" si="2"/>
        <v>19359.45552</v>
      </c>
      <c r="I10" s="7">
        <v>1073</v>
      </c>
      <c r="J10" s="7">
        <v>7000</v>
      </c>
      <c r="K10" s="7">
        <f>H10+I10+J10+245</f>
        <v>27677.45552</v>
      </c>
    </row>
    <row r="11" spans="1:11" ht="51" customHeight="1" x14ac:dyDescent="0.3">
      <c r="A11" s="2">
        <v>15</v>
      </c>
      <c r="B11" s="4" t="s">
        <v>20</v>
      </c>
      <c r="C11" s="5">
        <v>104744</v>
      </c>
      <c r="D11" s="6">
        <v>15.871</v>
      </c>
      <c r="E11" s="6">
        <v>20.446999999999999</v>
      </c>
      <c r="F11" s="6">
        <f t="shared" si="0"/>
        <v>4.5759999999999987</v>
      </c>
      <c r="G11" s="6">
        <v>2197.94</v>
      </c>
      <c r="H11" s="7">
        <f t="shared" si="2"/>
        <v>10057.773439999997</v>
      </c>
      <c r="I11" s="7">
        <v>1073</v>
      </c>
      <c r="J11" s="7">
        <v>7000</v>
      </c>
      <c r="K11" s="7">
        <f t="shared" si="1"/>
        <v>18130.773439999997</v>
      </c>
    </row>
    <row r="12" spans="1:11" ht="51" customHeight="1" x14ac:dyDescent="0.3">
      <c r="A12" s="2">
        <v>16</v>
      </c>
      <c r="B12" s="4" t="s">
        <v>21</v>
      </c>
      <c r="C12" s="5">
        <v>104747</v>
      </c>
      <c r="D12" s="6">
        <v>57.378</v>
      </c>
      <c r="E12" s="6">
        <v>74.754999999999995</v>
      </c>
      <c r="F12" s="6">
        <f t="shared" si="0"/>
        <v>17.376999999999995</v>
      </c>
      <c r="G12" s="6">
        <v>2197.94</v>
      </c>
      <c r="H12" s="7">
        <f t="shared" si="2"/>
        <v>38193.603379999993</v>
      </c>
      <c r="I12" s="7">
        <v>1073</v>
      </c>
      <c r="J12" s="7">
        <v>7000</v>
      </c>
      <c r="K12" s="7">
        <f t="shared" si="1"/>
        <v>46266.603379999993</v>
      </c>
    </row>
    <row r="13" spans="1:11" ht="51" customHeight="1" x14ac:dyDescent="0.3">
      <c r="A13" s="2">
        <v>17</v>
      </c>
      <c r="B13" s="4" t="s">
        <v>22</v>
      </c>
      <c r="C13" s="5">
        <v>104748</v>
      </c>
      <c r="D13" s="6">
        <v>6.891</v>
      </c>
      <c r="E13" s="6">
        <v>10.381</v>
      </c>
      <c r="F13" s="6">
        <f t="shared" si="0"/>
        <v>3.49</v>
      </c>
      <c r="G13" s="6">
        <v>2197.94</v>
      </c>
      <c r="H13" s="7">
        <f t="shared" si="2"/>
        <v>7670.8106000000007</v>
      </c>
      <c r="I13" s="7">
        <v>1073</v>
      </c>
      <c r="J13" s="7">
        <v>7000</v>
      </c>
      <c r="K13" s="7">
        <f t="shared" si="1"/>
        <v>15743.810600000001</v>
      </c>
    </row>
    <row r="14" spans="1:11" ht="51" customHeight="1" x14ac:dyDescent="0.3">
      <c r="A14" s="2">
        <v>18</v>
      </c>
      <c r="B14" s="4" t="s">
        <v>23</v>
      </c>
      <c r="C14" s="5">
        <v>104770</v>
      </c>
      <c r="D14" s="6">
        <v>19.498999999999999</v>
      </c>
      <c r="E14" s="6">
        <v>27.488</v>
      </c>
      <c r="F14" s="6">
        <f t="shared" si="0"/>
        <v>7.9890000000000008</v>
      </c>
      <c r="G14" s="6">
        <v>2197.94</v>
      </c>
      <c r="H14" s="7">
        <f t="shared" si="2"/>
        <v>17559.342660000002</v>
      </c>
      <c r="I14" s="7">
        <v>1073</v>
      </c>
      <c r="J14" s="7">
        <v>7000</v>
      </c>
      <c r="K14" s="7">
        <f t="shared" si="1"/>
        <v>25632.342660000002</v>
      </c>
    </row>
    <row r="15" spans="1:11" ht="51" customHeight="1" x14ac:dyDescent="0.3">
      <c r="A15" s="2">
        <v>19</v>
      </c>
      <c r="B15" s="4" t="s">
        <v>24</v>
      </c>
      <c r="C15" s="5">
        <v>104741</v>
      </c>
      <c r="D15" s="6">
        <v>4.8159999999999998</v>
      </c>
      <c r="E15" s="6">
        <v>6.3040000000000003</v>
      </c>
      <c r="F15" s="6">
        <f t="shared" si="0"/>
        <v>1.4880000000000004</v>
      </c>
      <c r="G15" s="6">
        <v>2197.94</v>
      </c>
      <c r="H15" s="7">
        <f t="shared" si="2"/>
        <v>3270.534720000001</v>
      </c>
      <c r="I15" s="7">
        <v>1073</v>
      </c>
      <c r="J15" s="7">
        <v>7000</v>
      </c>
      <c r="K15" s="7">
        <f t="shared" si="1"/>
        <v>11343.534720000001</v>
      </c>
    </row>
    <row r="16" spans="1:11" ht="51" customHeight="1" x14ac:dyDescent="0.3">
      <c r="A16" s="2">
        <v>20</v>
      </c>
      <c r="B16" s="4" t="s">
        <v>25</v>
      </c>
      <c r="C16" s="5">
        <v>106223</v>
      </c>
      <c r="D16" s="6">
        <v>15.989000000000001</v>
      </c>
      <c r="E16" s="6">
        <v>20.788</v>
      </c>
      <c r="F16" s="6">
        <f t="shared" si="0"/>
        <v>4.7989999999999995</v>
      </c>
      <c r="G16" s="6">
        <v>2197.94</v>
      </c>
      <c r="H16" s="7">
        <f t="shared" si="2"/>
        <v>10547.914059999999</v>
      </c>
      <c r="I16" s="7">
        <v>1073</v>
      </c>
      <c r="J16" s="7">
        <v>7000</v>
      </c>
      <c r="K16" s="7">
        <f t="shared" si="1"/>
        <v>18620.914059999999</v>
      </c>
    </row>
    <row r="17" spans="1:11" ht="51" customHeight="1" x14ac:dyDescent="0.3">
      <c r="A17" s="2">
        <v>21</v>
      </c>
      <c r="B17" s="4" t="s">
        <v>26</v>
      </c>
      <c r="C17" s="5">
        <v>106230</v>
      </c>
      <c r="D17" s="6">
        <v>10.105</v>
      </c>
      <c r="E17" s="6">
        <v>11.798</v>
      </c>
      <c r="F17" s="6">
        <f t="shared" si="0"/>
        <v>1.6929999999999996</v>
      </c>
      <c r="G17" s="6">
        <v>2197.94</v>
      </c>
      <c r="H17" s="7">
        <f t="shared" si="2"/>
        <v>3721.1124199999995</v>
      </c>
      <c r="I17" s="7">
        <v>1073</v>
      </c>
      <c r="J17" s="7">
        <v>7000</v>
      </c>
      <c r="K17" s="7">
        <f t="shared" si="1"/>
        <v>11794.112419999999</v>
      </c>
    </row>
    <row r="18" spans="1:11" ht="51" customHeight="1" x14ac:dyDescent="0.3">
      <c r="A18" s="2">
        <v>22</v>
      </c>
      <c r="B18" s="4" t="s">
        <v>27</v>
      </c>
      <c r="C18" s="5">
        <v>106136</v>
      </c>
      <c r="D18" s="6">
        <v>4.8949999999999996</v>
      </c>
      <c r="E18" s="6">
        <v>7.4039999999999999</v>
      </c>
      <c r="F18" s="6">
        <f t="shared" si="0"/>
        <v>2.5090000000000003</v>
      </c>
      <c r="G18" s="6">
        <v>2197.94</v>
      </c>
      <c r="H18" s="7">
        <f t="shared" si="2"/>
        <v>5514.6314600000005</v>
      </c>
      <c r="I18" s="7">
        <v>1073</v>
      </c>
      <c r="J18" s="7">
        <v>7000</v>
      </c>
      <c r="K18" s="7">
        <f t="shared" si="1"/>
        <v>13587.631460000001</v>
      </c>
    </row>
    <row r="19" spans="1:11" ht="51" customHeight="1" x14ac:dyDescent="0.3">
      <c r="A19" s="2">
        <v>23</v>
      </c>
      <c r="B19" s="4" t="s">
        <v>28</v>
      </c>
      <c r="C19" s="5">
        <v>106225</v>
      </c>
      <c r="D19" s="6">
        <v>1.27</v>
      </c>
      <c r="E19" s="6">
        <v>1.276</v>
      </c>
      <c r="F19" s="6">
        <f t="shared" si="0"/>
        <v>6.0000000000000053E-3</v>
      </c>
      <c r="G19" s="6">
        <v>2197.94</v>
      </c>
      <c r="H19" s="7">
        <f t="shared" si="2"/>
        <v>13.187640000000012</v>
      </c>
      <c r="I19" s="7">
        <v>1073</v>
      </c>
      <c r="J19" s="7">
        <v>7000</v>
      </c>
      <c r="K19" s="7">
        <f t="shared" si="1"/>
        <v>8086.1876400000001</v>
      </c>
    </row>
    <row r="20" spans="1:11" ht="51" customHeight="1" x14ac:dyDescent="0.3">
      <c r="A20" s="2">
        <v>25</v>
      </c>
      <c r="B20" s="4" t="s">
        <v>29</v>
      </c>
      <c r="C20" s="5">
        <v>104745</v>
      </c>
      <c r="D20" s="6">
        <v>38.774000000000001</v>
      </c>
      <c r="E20" s="6">
        <v>49.656999999999996</v>
      </c>
      <c r="F20" s="6">
        <f t="shared" si="0"/>
        <v>10.882999999999996</v>
      </c>
      <c r="G20" s="6">
        <v>2197.94</v>
      </c>
      <c r="H20" s="7">
        <f t="shared" si="2"/>
        <v>23920.181019999989</v>
      </c>
      <c r="I20" s="7">
        <v>1073</v>
      </c>
      <c r="J20" s="7">
        <v>7000</v>
      </c>
      <c r="K20" s="7">
        <f t="shared" si="1"/>
        <v>31993.181019999989</v>
      </c>
    </row>
    <row r="21" spans="1:11" ht="51" customHeight="1" x14ac:dyDescent="0.3">
      <c r="A21" s="2">
        <v>26</v>
      </c>
      <c r="B21" s="4" t="s">
        <v>30</v>
      </c>
      <c r="C21" s="5">
        <v>104743</v>
      </c>
      <c r="D21" s="6">
        <v>66.230999999999995</v>
      </c>
      <c r="E21" s="6">
        <v>76.561000000000007</v>
      </c>
      <c r="F21" s="6">
        <f t="shared" si="0"/>
        <v>10.330000000000013</v>
      </c>
      <c r="G21" s="6">
        <v>2197.94</v>
      </c>
      <c r="H21" s="7">
        <f t="shared" si="2"/>
        <v>22704.720200000029</v>
      </c>
      <c r="I21" s="7">
        <v>1073</v>
      </c>
      <c r="J21" s="7">
        <v>7000</v>
      </c>
      <c r="K21" s="7">
        <f t="shared" si="1"/>
        <v>30777.720200000029</v>
      </c>
    </row>
    <row r="22" spans="1:11" ht="51" customHeight="1" x14ac:dyDescent="0.3">
      <c r="A22" s="2">
        <v>27</v>
      </c>
      <c r="B22" s="4" t="s">
        <v>31</v>
      </c>
      <c r="C22" s="5">
        <v>104749</v>
      </c>
      <c r="D22" s="6">
        <v>13.95</v>
      </c>
      <c r="E22" s="6">
        <v>19.814</v>
      </c>
      <c r="F22" s="6">
        <f t="shared" si="0"/>
        <v>5.8640000000000008</v>
      </c>
      <c r="G22" s="6">
        <v>2197.94</v>
      </c>
      <c r="H22" s="7">
        <f t="shared" si="2"/>
        <v>12888.720160000003</v>
      </c>
      <c r="I22" s="7">
        <v>1073</v>
      </c>
      <c r="J22" s="7">
        <v>7000</v>
      </c>
      <c r="K22" s="7">
        <f t="shared" si="1"/>
        <v>20961.720160000004</v>
      </c>
    </row>
    <row r="23" spans="1:11" s="13" customFormat="1" ht="51" customHeight="1" thickBot="1" x14ac:dyDescent="0.35">
      <c r="A23" s="8">
        <v>28</v>
      </c>
      <c r="B23" s="9" t="s">
        <v>32</v>
      </c>
      <c r="C23" s="10">
        <v>104742</v>
      </c>
      <c r="D23" s="11">
        <v>4.1449999999999996</v>
      </c>
      <c r="E23" s="11">
        <v>5.915</v>
      </c>
      <c r="F23" s="11">
        <f t="shared" si="0"/>
        <v>1.7700000000000005</v>
      </c>
      <c r="G23" s="11">
        <v>2197.94</v>
      </c>
      <c r="H23" s="12">
        <f t="shared" si="2"/>
        <v>3890.3538000000012</v>
      </c>
      <c r="I23" s="12">
        <v>1073</v>
      </c>
      <c r="J23" s="12">
        <v>7000</v>
      </c>
      <c r="K23" s="12">
        <f>H23+I23+J23</f>
        <v>11963.353800000001</v>
      </c>
    </row>
    <row r="24" spans="1:11" s="13" customFormat="1" ht="51" customHeight="1" thickTop="1" thickBot="1" x14ac:dyDescent="0.35">
      <c r="A24" s="14">
        <v>29</v>
      </c>
      <c r="B24" s="15" t="s">
        <v>33</v>
      </c>
      <c r="C24" s="16">
        <v>105611</v>
      </c>
      <c r="D24" s="17">
        <v>0</v>
      </c>
      <c r="E24" s="17">
        <v>0.124</v>
      </c>
      <c r="F24" s="17">
        <f t="shared" si="0"/>
        <v>0.124</v>
      </c>
      <c r="G24" s="17">
        <v>2197.94</v>
      </c>
      <c r="H24" s="18">
        <f t="shared" si="2"/>
        <v>272.54455999999999</v>
      </c>
      <c r="I24" s="18"/>
      <c r="J24" s="18">
        <v>7000</v>
      </c>
      <c r="K24" s="18">
        <f>J24</f>
        <v>7000</v>
      </c>
    </row>
    <row r="25" spans="1:11" s="13" customFormat="1" ht="51" customHeight="1" thickTop="1" thickBot="1" x14ac:dyDescent="0.35">
      <c r="A25" s="14">
        <v>30</v>
      </c>
      <c r="B25" s="19" t="s">
        <v>34</v>
      </c>
      <c r="C25" s="20"/>
      <c r="D25" s="21"/>
      <c r="E25" s="21"/>
      <c r="F25" s="21">
        <f t="shared" si="0"/>
        <v>0</v>
      </c>
      <c r="G25" s="21">
        <v>2197.94</v>
      </c>
      <c r="H25" s="22">
        <f t="shared" si="2"/>
        <v>0</v>
      </c>
      <c r="I25" s="22"/>
      <c r="J25" s="22"/>
      <c r="K25" s="22">
        <f t="shared" ref="K25:K67" si="3">J25</f>
        <v>0</v>
      </c>
    </row>
    <row r="26" spans="1:11" s="13" customFormat="1" ht="51" customHeight="1" thickTop="1" thickBot="1" x14ac:dyDescent="0.35">
      <c r="A26" s="14">
        <v>31</v>
      </c>
      <c r="B26" s="15" t="s">
        <v>35</v>
      </c>
      <c r="C26" s="16">
        <v>105511</v>
      </c>
      <c r="D26" s="17">
        <v>0</v>
      </c>
      <c r="E26" s="17">
        <v>0.13100000000000001</v>
      </c>
      <c r="F26" s="17">
        <f t="shared" si="0"/>
        <v>0.13100000000000001</v>
      </c>
      <c r="G26" s="17">
        <v>2197.94</v>
      </c>
      <c r="H26" s="18">
        <f t="shared" si="2"/>
        <v>287.93013999999999</v>
      </c>
      <c r="I26" s="18"/>
      <c r="J26" s="18">
        <v>6000</v>
      </c>
      <c r="K26" s="18">
        <f>J26</f>
        <v>6000</v>
      </c>
    </row>
    <row r="27" spans="1:11" s="13" customFormat="1" ht="51" customHeight="1" thickTop="1" thickBot="1" x14ac:dyDescent="0.35">
      <c r="A27" s="14">
        <v>32</v>
      </c>
      <c r="B27" s="15" t="s">
        <v>36</v>
      </c>
      <c r="C27" s="16">
        <v>106175</v>
      </c>
      <c r="D27" s="17">
        <v>0</v>
      </c>
      <c r="E27" s="17">
        <v>4.8559999999999999</v>
      </c>
      <c r="F27" s="17">
        <f t="shared" si="0"/>
        <v>4.8559999999999999</v>
      </c>
      <c r="G27" s="17">
        <v>2197.94</v>
      </c>
      <c r="H27" s="18">
        <f t="shared" si="2"/>
        <v>10673.19664</v>
      </c>
      <c r="I27" s="18"/>
      <c r="J27" s="18">
        <v>7000</v>
      </c>
      <c r="K27" s="18">
        <f t="shared" si="3"/>
        <v>7000</v>
      </c>
    </row>
    <row r="28" spans="1:11" s="13" customFormat="1" ht="51" customHeight="1" thickTop="1" thickBot="1" x14ac:dyDescent="0.35">
      <c r="A28" s="14">
        <v>33</v>
      </c>
      <c r="B28" s="15" t="s">
        <v>37</v>
      </c>
      <c r="C28" s="16">
        <v>105518</v>
      </c>
      <c r="D28" s="17">
        <v>0</v>
      </c>
      <c r="E28" s="17">
        <v>2.2959999999999998</v>
      </c>
      <c r="F28" s="17">
        <f t="shared" si="0"/>
        <v>2.2959999999999998</v>
      </c>
      <c r="G28" s="17">
        <v>2197.94</v>
      </c>
      <c r="H28" s="18">
        <f t="shared" si="2"/>
        <v>5046.4702399999996</v>
      </c>
      <c r="I28" s="18"/>
      <c r="J28" s="18">
        <v>7000</v>
      </c>
      <c r="K28" s="18">
        <f t="shared" si="3"/>
        <v>7000</v>
      </c>
    </row>
    <row r="29" spans="1:11" s="13" customFormat="1" ht="51" customHeight="1" thickTop="1" thickBot="1" x14ac:dyDescent="0.35">
      <c r="A29" s="14">
        <v>34</v>
      </c>
      <c r="B29" s="15" t="s">
        <v>38</v>
      </c>
      <c r="C29" s="16">
        <v>105553</v>
      </c>
      <c r="D29" s="17">
        <v>0</v>
      </c>
      <c r="E29" s="17">
        <v>6.4550000000000001</v>
      </c>
      <c r="F29" s="17">
        <f t="shared" si="0"/>
        <v>6.4550000000000001</v>
      </c>
      <c r="G29" s="17">
        <v>2197.94</v>
      </c>
      <c r="H29" s="18">
        <f t="shared" si="2"/>
        <v>14187.7027</v>
      </c>
      <c r="I29" s="18"/>
      <c r="J29" s="18">
        <v>7000</v>
      </c>
      <c r="K29" s="18">
        <f t="shared" si="3"/>
        <v>7000</v>
      </c>
    </row>
    <row r="30" spans="1:11" s="13" customFormat="1" ht="51" customHeight="1" thickTop="1" thickBot="1" x14ac:dyDescent="0.35">
      <c r="A30" s="14">
        <v>35</v>
      </c>
      <c r="B30" s="19" t="s">
        <v>39</v>
      </c>
      <c r="C30" s="20"/>
      <c r="D30" s="21"/>
      <c r="E30" s="21"/>
      <c r="F30" s="21">
        <f t="shared" si="0"/>
        <v>0</v>
      </c>
      <c r="G30" s="21">
        <v>2197.94</v>
      </c>
      <c r="H30" s="22">
        <f t="shared" si="2"/>
        <v>0</v>
      </c>
      <c r="I30" s="22"/>
      <c r="J30" s="22"/>
      <c r="K30" s="22">
        <f t="shared" si="3"/>
        <v>0</v>
      </c>
    </row>
    <row r="31" spans="1:11" s="13" customFormat="1" ht="51" customHeight="1" thickTop="1" thickBot="1" x14ac:dyDescent="0.35">
      <c r="A31" s="14">
        <v>36</v>
      </c>
      <c r="B31" s="15" t="s">
        <v>40</v>
      </c>
      <c r="C31" s="16">
        <v>106232</v>
      </c>
      <c r="D31" s="17">
        <v>0</v>
      </c>
      <c r="E31" s="17">
        <v>0.20799999999999999</v>
      </c>
      <c r="F31" s="17">
        <f t="shared" si="0"/>
        <v>0.20799999999999999</v>
      </c>
      <c r="G31" s="17">
        <v>2197.94</v>
      </c>
      <c r="H31" s="18">
        <f t="shared" si="2"/>
        <v>457.17151999999999</v>
      </c>
      <c r="I31" s="18"/>
      <c r="J31" s="18">
        <v>7000</v>
      </c>
      <c r="K31" s="18">
        <f t="shared" si="3"/>
        <v>7000</v>
      </c>
    </row>
    <row r="32" spans="1:11" s="13" customFormat="1" ht="51" customHeight="1" thickTop="1" thickBot="1" x14ac:dyDescent="0.35">
      <c r="A32" s="14">
        <v>37</v>
      </c>
      <c r="B32" s="15" t="s">
        <v>41</v>
      </c>
      <c r="C32" s="16">
        <v>105552</v>
      </c>
      <c r="D32" s="17">
        <v>0</v>
      </c>
      <c r="E32" s="17">
        <v>4.9039999999999999</v>
      </c>
      <c r="F32" s="17">
        <f t="shared" si="0"/>
        <v>4.9039999999999999</v>
      </c>
      <c r="G32" s="17">
        <v>2197.94</v>
      </c>
      <c r="H32" s="18">
        <f t="shared" si="2"/>
        <v>10778.697760000001</v>
      </c>
      <c r="I32" s="18"/>
      <c r="J32" s="18">
        <v>7000</v>
      </c>
      <c r="K32" s="18">
        <f t="shared" si="3"/>
        <v>7000</v>
      </c>
    </row>
    <row r="33" spans="1:11" s="13" customFormat="1" ht="51" customHeight="1" thickTop="1" thickBot="1" x14ac:dyDescent="0.35">
      <c r="A33" s="14">
        <v>38</v>
      </c>
      <c r="B33" s="15" t="s">
        <v>42</v>
      </c>
      <c r="C33" s="16">
        <v>105560</v>
      </c>
      <c r="D33" s="17">
        <v>0</v>
      </c>
      <c r="E33" s="17">
        <v>0.13400000000000001</v>
      </c>
      <c r="F33" s="17">
        <f t="shared" si="0"/>
        <v>0.13400000000000001</v>
      </c>
      <c r="G33" s="17">
        <v>2197.94</v>
      </c>
      <c r="H33" s="18">
        <f t="shared" si="2"/>
        <v>294.52396000000005</v>
      </c>
      <c r="I33" s="18"/>
      <c r="J33" s="18">
        <v>7000</v>
      </c>
      <c r="K33" s="18">
        <f t="shared" si="3"/>
        <v>7000</v>
      </c>
    </row>
    <row r="34" spans="1:11" s="13" customFormat="1" ht="51" customHeight="1" thickTop="1" thickBot="1" x14ac:dyDescent="0.35">
      <c r="A34" s="14">
        <v>39</v>
      </c>
      <c r="B34" s="15" t="s">
        <v>43</v>
      </c>
      <c r="C34" s="16">
        <v>105551</v>
      </c>
      <c r="D34" s="17">
        <v>0</v>
      </c>
      <c r="E34" s="17">
        <v>7.4489999999999998</v>
      </c>
      <c r="F34" s="17">
        <f t="shared" si="0"/>
        <v>7.4489999999999998</v>
      </c>
      <c r="G34" s="17">
        <v>2197.94</v>
      </c>
      <c r="H34" s="18">
        <f t="shared" si="2"/>
        <v>16372.45506</v>
      </c>
      <c r="I34" s="18"/>
      <c r="J34" s="18">
        <v>7000</v>
      </c>
      <c r="K34" s="18">
        <f t="shared" si="3"/>
        <v>7000</v>
      </c>
    </row>
    <row r="35" spans="1:11" s="13" customFormat="1" ht="51" customHeight="1" thickTop="1" thickBot="1" x14ac:dyDescent="0.35">
      <c r="A35" s="14">
        <v>40</v>
      </c>
      <c r="B35" s="15" t="s">
        <v>44</v>
      </c>
      <c r="C35" s="16">
        <v>105512</v>
      </c>
      <c r="D35" s="17">
        <v>0</v>
      </c>
      <c r="E35" s="17">
        <v>4.3440000000000003</v>
      </c>
      <c r="F35" s="17">
        <f t="shared" si="0"/>
        <v>4.3440000000000003</v>
      </c>
      <c r="G35" s="17">
        <v>2197.94</v>
      </c>
      <c r="H35" s="18">
        <f t="shared" si="2"/>
        <v>9547.8513600000006</v>
      </c>
      <c r="I35" s="18"/>
      <c r="J35" s="18">
        <v>7000</v>
      </c>
      <c r="K35" s="18">
        <f t="shared" si="3"/>
        <v>7000</v>
      </c>
    </row>
    <row r="36" spans="1:11" s="13" customFormat="1" ht="51" customHeight="1" thickTop="1" thickBot="1" x14ac:dyDescent="0.35">
      <c r="A36" s="14">
        <v>41</v>
      </c>
      <c r="B36" s="15" t="s">
        <v>45</v>
      </c>
      <c r="C36" s="16">
        <v>106176</v>
      </c>
      <c r="D36" s="17">
        <v>0</v>
      </c>
      <c r="E36" s="17">
        <v>0.13</v>
      </c>
      <c r="F36" s="17">
        <f t="shared" si="0"/>
        <v>0.13</v>
      </c>
      <c r="G36" s="17">
        <v>2197.94</v>
      </c>
      <c r="H36" s="18">
        <f t="shared" si="2"/>
        <v>285.73220000000003</v>
      </c>
      <c r="I36" s="18"/>
      <c r="J36" s="18">
        <v>7000</v>
      </c>
      <c r="K36" s="18">
        <f t="shared" si="3"/>
        <v>7000</v>
      </c>
    </row>
    <row r="37" spans="1:11" s="13" customFormat="1" ht="51" customHeight="1" thickTop="1" thickBot="1" x14ac:dyDescent="0.35">
      <c r="A37" s="14">
        <v>42</v>
      </c>
      <c r="B37" s="15" t="s">
        <v>46</v>
      </c>
      <c r="C37" s="16">
        <v>105517</v>
      </c>
      <c r="D37" s="17">
        <v>0</v>
      </c>
      <c r="E37" s="17">
        <v>7.9080000000000004</v>
      </c>
      <c r="F37" s="17">
        <f t="shared" si="0"/>
        <v>7.9080000000000004</v>
      </c>
      <c r="G37" s="17">
        <v>2197.94</v>
      </c>
      <c r="H37" s="18">
        <f t="shared" si="2"/>
        <v>17381.309520000003</v>
      </c>
      <c r="I37" s="18"/>
      <c r="J37" s="18">
        <v>7000</v>
      </c>
      <c r="K37" s="18">
        <f t="shared" si="3"/>
        <v>7000</v>
      </c>
    </row>
    <row r="38" spans="1:11" s="13" customFormat="1" ht="51" customHeight="1" thickTop="1" thickBot="1" x14ac:dyDescent="0.35">
      <c r="A38" s="14">
        <v>43</v>
      </c>
      <c r="B38" s="15" t="s">
        <v>47</v>
      </c>
      <c r="C38" s="16">
        <v>105558</v>
      </c>
      <c r="D38" s="17">
        <v>0</v>
      </c>
      <c r="E38" s="17">
        <v>8.1170000000000009</v>
      </c>
      <c r="F38" s="17">
        <f t="shared" si="0"/>
        <v>8.1170000000000009</v>
      </c>
      <c r="G38" s="17">
        <v>2197.94</v>
      </c>
      <c r="H38" s="18">
        <f t="shared" si="2"/>
        <v>17840.678980000001</v>
      </c>
      <c r="I38" s="18"/>
      <c r="J38" s="18">
        <v>8000</v>
      </c>
      <c r="K38" s="18">
        <f t="shared" si="3"/>
        <v>8000</v>
      </c>
    </row>
    <row r="39" spans="1:11" s="13" customFormat="1" ht="51" customHeight="1" thickTop="1" thickBot="1" x14ac:dyDescent="0.35">
      <c r="A39" s="14">
        <v>44</v>
      </c>
      <c r="B39" s="15" t="s">
        <v>48</v>
      </c>
      <c r="C39" s="16">
        <v>105556</v>
      </c>
      <c r="D39" s="17">
        <v>0</v>
      </c>
      <c r="E39" s="17">
        <v>7.1360000000000001</v>
      </c>
      <c r="F39" s="17">
        <f t="shared" si="0"/>
        <v>7.1360000000000001</v>
      </c>
      <c r="G39" s="17">
        <v>2197.94</v>
      </c>
      <c r="H39" s="18">
        <f t="shared" si="2"/>
        <v>15684.49984</v>
      </c>
      <c r="I39" s="18"/>
      <c r="J39" s="18">
        <v>7000</v>
      </c>
      <c r="K39" s="18">
        <f t="shared" si="3"/>
        <v>7000</v>
      </c>
    </row>
    <row r="40" spans="1:11" s="13" customFormat="1" ht="51" customHeight="1" thickTop="1" thickBot="1" x14ac:dyDescent="0.35">
      <c r="A40" s="14">
        <v>45</v>
      </c>
      <c r="B40" s="19" t="s">
        <v>39</v>
      </c>
      <c r="C40" s="20"/>
      <c r="D40" s="21"/>
      <c r="E40" s="21"/>
      <c r="F40" s="21">
        <f t="shared" si="0"/>
        <v>0</v>
      </c>
      <c r="G40" s="21">
        <v>2197.94</v>
      </c>
      <c r="H40" s="22">
        <f t="shared" si="2"/>
        <v>0</v>
      </c>
      <c r="I40" s="22"/>
      <c r="J40" s="22"/>
      <c r="K40" s="22">
        <f t="shared" si="3"/>
        <v>0</v>
      </c>
    </row>
    <row r="41" spans="1:11" s="13" customFormat="1" ht="51" customHeight="1" thickTop="1" thickBot="1" x14ac:dyDescent="0.35">
      <c r="A41" s="14">
        <v>46</v>
      </c>
      <c r="B41" s="19" t="s">
        <v>39</v>
      </c>
      <c r="C41" s="20"/>
      <c r="D41" s="21"/>
      <c r="E41" s="21"/>
      <c r="F41" s="21">
        <f t="shared" si="0"/>
        <v>0</v>
      </c>
      <c r="G41" s="21">
        <v>2197.94</v>
      </c>
      <c r="H41" s="22">
        <f t="shared" si="2"/>
        <v>0</v>
      </c>
      <c r="I41" s="22"/>
      <c r="J41" s="22"/>
      <c r="K41" s="22">
        <f t="shared" si="3"/>
        <v>0</v>
      </c>
    </row>
    <row r="42" spans="1:11" s="13" customFormat="1" ht="51" customHeight="1" thickTop="1" thickBot="1" x14ac:dyDescent="0.35">
      <c r="A42" s="14">
        <v>47</v>
      </c>
      <c r="B42" s="19" t="s">
        <v>39</v>
      </c>
      <c r="C42" s="20"/>
      <c r="D42" s="21"/>
      <c r="E42" s="21"/>
      <c r="F42" s="21">
        <f t="shared" si="0"/>
        <v>0</v>
      </c>
      <c r="G42" s="21">
        <v>2197.94</v>
      </c>
      <c r="H42" s="22">
        <f t="shared" si="2"/>
        <v>0</v>
      </c>
      <c r="I42" s="22"/>
      <c r="J42" s="22"/>
      <c r="K42" s="22">
        <f t="shared" si="3"/>
        <v>0</v>
      </c>
    </row>
    <row r="43" spans="1:11" s="13" customFormat="1" ht="51" customHeight="1" thickTop="1" thickBot="1" x14ac:dyDescent="0.35">
      <c r="A43" s="14">
        <v>48</v>
      </c>
      <c r="B43" s="19" t="s">
        <v>39</v>
      </c>
      <c r="C43" s="20"/>
      <c r="D43" s="21"/>
      <c r="E43" s="21"/>
      <c r="F43" s="21">
        <f t="shared" si="0"/>
        <v>0</v>
      </c>
      <c r="G43" s="21">
        <v>2197.94</v>
      </c>
      <c r="H43" s="22">
        <f t="shared" si="2"/>
        <v>0</v>
      </c>
      <c r="I43" s="22"/>
      <c r="J43" s="22"/>
      <c r="K43" s="22">
        <f t="shared" si="3"/>
        <v>0</v>
      </c>
    </row>
    <row r="44" spans="1:11" s="13" customFormat="1" ht="51" customHeight="1" thickTop="1" thickBot="1" x14ac:dyDescent="0.35">
      <c r="A44" s="14">
        <v>49</v>
      </c>
      <c r="B44" s="19" t="s">
        <v>39</v>
      </c>
      <c r="C44" s="20"/>
      <c r="D44" s="21"/>
      <c r="E44" s="21"/>
      <c r="F44" s="21">
        <f t="shared" si="0"/>
        <v>0</v>
      </c>
      <c r="G44" s="21">
        <v>2197.94</v>
      </c>
      <c r="H44" s="22">
        <f t="shared" si="2"/>
        <v>0</v>
      </c>
      <c r="I44" s="22"/>
      <c r="J44" s="22"/>
      <c r="K44" s="22">
        <f t="shared" si="3"/>
        <v>0</v>
      </c>
    </row>
    <row r="45" spans="1:11" s="13" customFormat="1" ht="51" customHeight="1" thickTop="1" thickBot="1" x14ac:dyDescent="0.35">
      <c r="A45" s="14">
        <v>50</v>
      </c>
      <c r="B45" s="15" t="s">
        <v>49</v>
      </c>
      <c r="C45" s="16">
        <v>105516</v>
      </c>
      <c r="D45" s="17">
        <v>0</v>
      </c>
      <c r="E45" s="17">
        <v>5.2039999999999997</v>
      </c>
      <c r="F45" s="17">
        <f t="shared" si="0"/>
        <v>5.2039999999999997</v>
      </c>
      <c r="G45" s="17">
        <v>2197.94</v>
      </c>
      <c r="H45" s="18">
        <f t="shared" si="2"/>
        <v>11438.079760000001</v>
      </c>
      <c r="I45" s="18"/>
      <c r="J45" s="18">
        <v>7000</v>
      </c>
      <c r="K45" s="18">
        <f t="shared" si="3"/>
        <v>7000</v>
      </c>
    </row>
    <row r="46" spans="1:11" s="13" customFormat="1" ht="51" customHeight="1" thickTop="1" thickBot="1" x14ac:dyDescent="0.35">
      <c r="A46" s="14">
        <v>51</v>
      </c>
      <c r="B46" s="19" t="s">
        <v>39</v>
      </c>
      <c r="C46" s="20"/>
      <c r="D46" s="21"/>
      <c r="E46" s="21"/>
      <c r="F46" s="21">
        <f t="shared" si="0"/>
        <v>0</v>
      </c>
      <c r="G46" s="21">
        <v>2197.94</v>
      </c>
      <c r="H46" s="22">
        <f t="shared" si="2"/>
        <v>0</v>
      </c>
      <c r="I46" s="22"/>
      <c r="J46" s="22"/>
      <c r="K46" s="22">
        <f t="shared" si="3"/>
        <v>0</v>
      </c>
    </row>
    <row r="47" spans="1:11" s="13" customFormat="1" ht="51" customHeight="1" thickTop="1" thickBot="1" x14ac:dyDescent="0.35">
      <c r="A47" s="14">
        <v>52</v>
      </c>
      <c r="B47" s="19" t="s">
        <v>39</v>
      </c>
      <c r="C47" s="20"/>
      <c r="D47" s="21"/>
      <c r="E47" s="21"/>
      <c r="F47" s="21">
        <f t="shared" si="0"/>
        <v>0</v>
      </c>
      <c r="G47" s="21">
        <v>2197.94</v>
      </c>
      <c r="H47" s="22">
        <f t="shared" si="2"/>
        <v>0</v>
      </c>
      <c r="I47" s="22"/>
      <c r="J47" s="22"/>
      <c r="K47" s="22">
        <f t="shared" si="3"/>
        <v>0</v>
      </c>
    </row>
    <row r="48" spans="1:11" s="13" customFormat="1" ht="51" customHeight="1" thickTop="1" thickBot="1" x14ac:dyDescent="0.35">
      <c r="A48" s="14">
        <v>53</v>
      </c>
      <c r="B48" s="19" t="s">
        <v>39</v>
      </c>
      <c r="C48" s="20"/>
      <c r="D48" s="21"/>
      <c r="E48" s="21"/>
      <c r="F48" s="21">
        <f t="shared" si="0"/>
        <v>0</v>
      </c>
      <c r="G48" s="21">
        <v>2197.94</v>
      </c>
      <c r="H48" s="22">
        <f t="shared" si="2"/>
        <v>0</v>
      </c>
      <c r="I48" s="22"/>
      <c r="J48" s="22"/>
      <c r="K48" s="22">
        <f t="shared" si="3"/>
        <v>0</v>
      </c>
    </row>
    <row r="49" spans="1:11" s="13" customFormat="1" ht="51" customHeight="1" thickTop="1" thickBot="1" x14ac:dyDescent="0.35">
      <c r="A49" s="14">
        <v>54</v>
      </c>
      <c r="B49" s="19" t="s">
        <v>39</v>
      </c>
      <c r="C49" s="20"/>
      <c r="D49" s="21"/>
      <c r="E49" s="21"/>
      <c r="F49" s="21">
        <f t="shared" si="0"/>
        <v>0</v>
      </c>
      <c r="G49" s="21">
        <v>2197.94</v>
      </c>
      <c r="H49" s="22">
        <f t="shared" si="2"/>
        <v>0</v>
      </c>
      <c r="I49" s="22"/>
      <c r="J49" s="22"/>
      <c r="K49" s="22">
        <f t="shared" si="3"/>
        <v>0</v>
      </c>
    </row>
    <row r="50" spans="1:11" s="13" customFormat="1" ht="51" customHeight="1" thickTop="1" thickBot="1" x14ac:dyDescent="0.35">
      <c r="A50" s="14">
        <v>55</v>
      </c>
      <c r="B50" s="19" t="s">
        <v>39</v>
      </c>
      <c r="C50" s="20"/>
      <c r="D50" s="21"/>
      <c r="E50" s="21"/>
      <c r="F50" s="21">
        <f t="shared" si="0"/>
        <v>0</v>
      </c>
      <c r="G50" s="21">
        <v>2197.94</v>
      </c>
      <c r="H50" s="22">
        <f t="shared" si="2"/>
        <v>0</v>
      </c>
      <c r="I50" s="22"/>
      <c r="J50" s="22"/>
      <c r="K50" s="22">
        <f t="shared" si="3"/>
        <v>0</v>
      </c>
    </row>
    <row r="51" spans="1:11" s="13" customFormat="1" ht="51" customHeight="1" thickTop="1" thickBot="1" x14ac:dyDescent="0.35">
      <c r="A51" s="14">
        <v>56</v>
      </c>
      <c r="B51" s="19" t="s">
        <v>39</v>
      </c>
      <c r="C51" s="20"/>
      <c r="D51" s="21"/>
      <c r="E51" s="21"/>
      <c r="F51" s="21">
        <f t="shared" si="0"/>
        <v>0</v>
      </c>
      <c r="G51" s="21">
        <v>2197.94</v>
      </c>
      <c r="H51" s="22">
        <f t="shared" si="2"/>
        <v>0</v>
      </c>
      <c r="I51" s="22"/>
      <c r="J51" s="22"/>
      <c r="K51" s="22">
        <f t="shared" si="3"/>
        <v>0</v>
      </c>
    </row>
    <row r="52" spans="1:11" s="13" customFormat="1" ht="51" customHeight="1" thickTop="1" thickBot="1" x14ac:dyDescent="0.35">
      <c r="A52" s="14">
        <v>57</v>
      </c>
      <c r="B52" s="19" t="s">
        <v>39</v>
      </c>
      <c r="C52" s="20"/>
      <c r="D52" s="21"/>
      <c r="E52" s="21"/>
      <c r="F52" s="21">
        <f t="shared" si="0"/>
        <v>0</v>
      </c>
      <c r="G52" s="21">
        <v>2197.94</v>
      </c>
      <c r="H52" s="22">
        <f t="shared" si="2"/>
        <v>0</v>
      </c>
      <c r="I52" s="22"/>
      <c r="J52" s="22"/>
      <c r="K52" s="22">
        <f t="shared" si="3"/>
        <v>0</v>
      </c>
    </row>
    <row r="53" spans="1:11" s="13" customFormat="1" ht="51" customHeight="1" thickTop="1" thickBot="1" x14ac:dyDescent="0.35">
      <c r="A53" s="14">
        <v>58</v>
      </c>
      <c r="B53" s="15" t="s">
        <v>50</v>
      </c>
      <c r="C53" s="16">
        <v>106726</v>
      </c>
      <c r="D53" s="17">
        <v>0</v>
      </c>
      <c r="E53" s="17">
        <v>11.089</v>
      </c>
      <c r="F53" s="17">
        <f t="shared" si="0"/>
        <v>11.089</v>
      </c>
      <c r="G53" s="17">
        <v>2197.94</v>
      </c>
      <c r="H53" s="18">
        <f t="shared" si="2"/>
        <v>24372.95666</v>
      </c>
      <c r="I53" s="18"/>
      <c r="J53" s="18">
        <v>7000</v>
      </c>
      <c r="K53" s="18">
        <f t="shared" si="3"/>
        <v>7000</v>
      </c>
    </row>
    <row r="54" spans="1:11" s="13" customFormat="1" ht="51" customHeight="1" thickTop="1" thickBot="1" x14ac:dyDescent="0.35">
      <c r="A54" s="14">
        <v>59</v>
      </c>
      <c r="B54" s="15" t="s">
        <v>51</v>
      </c>
      <c r="C54" s="16">
        <v>105559</v>
      </c>
      <c r="D54" s="17">
        <v>0</v>
      </c>
      <c r="E54" s="17">
        <v>10.545</v>
      </c>
      <c r="F54" s="17">
        <f t="shared" si="0"/>
        <v>10.545</v>
      </c>
      <c r="G54" s="17">
        <v>2197.94</v>
      </c>
      <c r="H54" s="18">
        <f t="shared" si="2"/>
        <v>23177.277300000002</v>
      </c>
      <c r="I54" s="18"/>
      <c r="J54" s="18">
        <v>7000</v>
      </c>
      <c r="K54" s="18">
        <f t="shared" si="3"/>
        <v>7000</v>
      </c>
    </row>
    <row r="55" spans="1:11" s="13" customFormat="1" ht="51" customHeight="1" thickTop="1" thickBot="1" x14ac:dyDescent="0.35">
      <c r="A55" s="14">
        <v>60</v>
      </c>
      <c r="B55" s="15" t="s">
        <v>52</v>
      </c>
      <c r="C55" s="16">
        <v>105513</v>
      </c>
      <c r="D55" s="17">
        <v>0</v>
      </c>
      <c r="E55" s="17">
        <v>3.6920000000000002</v>
      </c>
      <c r="F55" s="17">
        <f t="shared" si="0"/>
        <v>3.6920000000000002</v>
      </c>
      <c r="G55" s="17">
        <v>2197.94</v>
      </c>
      <c r="H55" s="18">
        <f t="shared" si="2"/>
        <v>8114.7944800000005</v>
      </c>
      <c r="I55" s="18"/>
      <c r="J55" s="18">
        <v>7000</v>
      </c>
      <c r="K55" s="18">
        <f t="shared" si="3"/>
        <v>7000</v>
      </c>
    </row>
    <row r="56" spans="1:11" s="13" customFormat="1" ht="51" customHeight="1" thickTop="1" thickBot="1" x14ac:dyDescent="0.35">
      <c r="A56" s="14">
        <v>61</v>
      </c>
      <c r="B56" s="15" t="s">
        <v>53</v>
      </c>
      <c r="C56" s="16">
        <v>105514</v>
      </c>
      <c r="D56" s="17">
        <v>0</v>
      </c>
      <c r="E56" s="17">
        <v>2.5569999999999999</v>
      </c>
      <c r="F56" s="17">
        <f t="shared" si="0"/>
        <v>2.5569999999999999</v>
      </c>
      <c r="G56" s="17">
        <v>2197.94</v>
      </c>
      <c r="H56" s="18">
        <f t="shared" si="2"/>
        <v>5620.1325800000004</v>
      </c>
      <c r="I56" s="18"/>
      <c r="J56" s="18">
        <v>7000</v>
      </c>
      <c r="K56" s="18">
        <f t="shared" si="3"/>
        <v>7000</v>
      </c>
    </row>
    <row r="57" spans="1:11" s="13" customFormat="1" ht="51" customHeight="1" thickTop="1" thickBot="1" x14ac:dyDescent="0.35">
      <c r="A57" s="14">
        <v>62</v>
      </c>
      <c r="B57" s="15" t="s">
        <v>54</v>
      </c>
      <c r="C57" s="16">
        <v>105515</v>
      </c>
      <c r="D57" s="17">
        <v>0</v>
      </c>
      <c r="E57" s="17">
        <v>7.0529999999999999</v>
      </c>
      <c r="F57" s="17">
        <f t="shared" si="0"/>
        <v>7.0529999999999999</v>
      </c>
      <c r="G57" s="17">
        <v>2197.94</v>
      </c>
      <c r="H57" s="18">
        <f t="shared" si="2"/>
        <v>15502.070820000001</v>
      </c>
      <c r="I57" s="18"/>
      <c r="J57" s="18">
        <v>7000</v>
      </c>
      <c r="K57" s="18">
        <f t="shared" si="3"/>
        <v>7000</v>
      </c>
    </row>
    <row r="58" spans="1:11" s="13" customFormat="1" ht="51" customHeight="1" thickTop="1" thickBot="1" x14ac:dyDescent="0.35">
      <c r="A58" s="14">
        <v>63</v>
      </c>
      <c r="B58" s="23" t="s">
        <v>55</v>
      </c>
      <c r="C58" s="24">
        <v>105520</v>
      </c>
      <c r="D58" s="25">
        <v>0</v>
      </c>
      <c r="E58" s="25">
        <v>0.1118</v>
      </c>
      <c r="F58" s="25">
        <f t="shared" si="0"/>
        <v>0.1118</v>
      </c>
      <c r="G58" s="25">
        <v>2197.94</v>
      </c>
      <c r="H58" s="26">
        <f t="shared" si="2"/>
        <v>245.729692</v>
      </c>
      <c r="I58" s="26"/>
      <c r="J58" s="26"/>
      <c r="K58" s="26">
        <f t="shared" si="3"/>
        <v>0</v>
      </c>
    </row>
    <row r="59" spans="1:11" s="13" customFormat="1" ht="51" customHeight="1" thickTop="1" thickBot="1" x14ac:dyDescent="0.35">
      <c r="A59" s="14">
        <v>64</v>
      </c>
      <c r="B59" s="15" t="s">
        <v>56</v>
      </c>
      <c r="C59" s="16">
        <v>105532</v>
      </c>
      <c r="D59" s="17">
        <v>0</v>
      </c>
      <c r="E59" s="17">
        <v>10.343999999999999</v>
      </c>
      <c r="F59" s="17">
        <f t="shared" si="0"/>
        <v>10.343999999999999</v>
      </c>
      <c r="G59" s="17">
        <v>2197.94</v>
      </c>
      <c r="H59" s="18">
        <f t="shared" si="2"/>
        <v>22735.49136</v>
      </c>
      <c r="I59" s="18"/>
      <c r="J59" s="18">
        <v>7000</v>
      </c>
      <c r="K59" s="18">
        <f t="shared" si="3"/>
        <v>7000</v>
      </c>
    </row>
    <row r="60" spans="1:11" s="13" customFormat="1" ht="51" customHeight="1" thickTop="1" thickBot="1" x14ac:dyDescent="0.35">
      <c r="A60" s="14">
        <v>65</v>
      </c>
      <c r="B60" s="15" t="s">
        <v>57</v>
      </c>
      <c r="C60" s="16">
        <v>105534</v>
      </c>
      <c r="D60" s="17">
        <v>0</v>
      </c>
      <c r="E60" s="17">
        <v>0.127</v>
      </c>
      <c r="F60" s="17">
        <f t="shared" si="0"/>
        <v>0.127</v>
      </c>
      <c r="G60" s="17">
        <v>2197.94</v>
      </c>
      <c r="H60" s="18">
        <f t="shared" si="2"/>
        <v>279.13837999999998</v>
      </c>
      <c r="I60" s="18"/>
      <c r="J60" s="18">
        <v>7000</v>
      </c>
      <c r="K60" s="18">
        <f t="shared" si="3"/>
        <v>7000</v>
      </c>
    </row>
    <row r="61" spans="1:11" s="13" customFormat="1" ht="51" customHeight="1" thickTop="1" thickBot="1" x14ac:dyDescent="0.35">
      <c r="A61" s="14">
        <v>66</v>
      </c>
      <c r="B61" s="15" t="s">
        <v>58</v>
      </c>
      <c r="C61" s="16">
        <v>105557</v>
      </c>
      <c r="D61" s="17">
        <v>0</v>
      </c>
      <c r="E61" s="17">
        <v>11.318</v>
      </c>
      <c r="F61" s="17">
        <f t="shared" si="0"/>
        <v>11.318</v>
      </c>
      <c r="G61" s="17">
        <v>2197.94</v>
      </c>
      <c r="H61" s="18">
        <f t="shared" si="2"/>
        <v>24876.284919999998</v>
      </c>
      <c r="I61" s="18"/>
      <c r="J61" s="18">
        <v>7000</v>
      </c>
      <c r="K61" s="18">
        <f t="shared" si="3"/>
        <v>7000</v>
      </c>
    </row>
    <row r="62" spans="1:11" s="13" customFormat="1" ht="51" customHeight="1" thickTop="1" thickBot="1" x14ac:dyDescent="0.35">
      <c r="A62" s="14">
        <v>67</v>
      </c>
      <c r="B62" s="15" t="s">
        <v>59</v>
      </c>
      <c r="C62" s="16">
        <v>105555</v>
      </c>
      <c r="D62" s="17">
        <v>0</v>
      </c>
      <c r="E62" s="17">
        <v>6.4009999999999998</v>
      </c>
      <c r="F62" s="17">
        <f t="shared" si="0"/>
        <v>6.4009999999999998</v>
      </c>
      <c r="G62" s="17">
        <v>2197.94</v>
      </c>
      <c r="H62" s="18">
        <f t="shared" si="2"/>
        <v>14069.013940000001</v>
      </c>
      <c r="I62" s="18"/>
      <c r="J62" s="18">
        <v>7000</v>
      </c>
      <c r="K62" s="18">
        <f t="shared" si="3"/>
        <v>7000</v>
      </c>
    </row>
    <row r="63" spans="1:11" s="13" customFormat="1" ht="51" customHeight="1" thickTop="1" thickBot="1" x14ac:dyDescent="0.35">
      <c r="A63" s="14">
        <v>68</v>
      </c>
      <c r="B63" s="15" t="s">
        <v>60</v>
      </c>
      <c r="C63" s="16">
        <v>105554</v>
      </c>
      <c r="D63" s="17">
        <v>0</v>
      </c>
      <c r="E63" s="17">
        <v>16.931999999999999</v>
      </c>
      <c r="F63" s="17">
        <f t="shared" si="0"/>
        <v>16.931999999999999</v>
      </c>
      <c r="G63" s="17">
        <v>2197.94</v>
      </c>
      <c r="H63" s="18">
        <f t="shared" si="2"/>
        <v>37215.520079999995</v>
      </c>
      <c r="I63" s="18"/>
      <c r="J63" s="18">
        <v>7000</v>
      </c>
      <c r="K63" s="18">
        <f t="shared" si="3"/>
        <v>7000</v>
      </c>
    </row>
    <row r="64" spans="1:11" s="13" customFormat="1" ht="51" customHeight="1" thickTop="1" thickBot="1" x14ac:dyDescent="0.35">
      <c r="A64" s="14">
        <v>69</v>
      </c>
      <c r="B64" s="15" t="s">
        <v>61</v>
      </c>
      <c r="C64" s="16">
        <v>106174</v>
      </c>
      <c r="D64" s="17">
        <v>0</v>
      </c>
      <c r="E64" s="17">
        <v>3.7320000000000002</v>
      </c>
      <c r="F64" s="17">
        <f t="shared" si="0"/>
        <v>3.7320000000000002</v>
      </c>
      <c r="G64" s="17">
        <v>2197.94</v>
      </c>
      <c r="H64" s="18">
        <f t="shared" si="2"/>
        <v>8202.7120800000012</v>
      </c>
      <c r="I64" s="18"/>
      <c r="J64" s="18">
        <v>7000</v>
      </c>
      <c r="K64" s="18">
        <f t="shared" si="3"/>
        <v>7000</v>
      </c>
    </row>
    <row r="65" spans="1:11" s="13" customFormat="1" ht="51" customHeight="1" thickTop="1" thickBot="1" x14ac:dyDescent="0.35">
      <c r="A65" s="14">
        <v>70</v>
      </c>
      <c r="B65" s="15" t="s">
        <v>62</v>
      </c>
      <c r="C65" s="16">
        <v>106178</v>
      </c>
      <c r="D65" s="17">
        <v>0</v>
      </c>
      <c r="E65" s="17">
        <v>1.359</v>
      </c>
      <c r="F65" s="17">
        <f t="shared" si="0"/>
        <v>1.359</v>
      </c>
      <c r="G65" s="17">
        <v>2197.94</v>
      </c>
      <c r="H65" s="18">
        <f t="shared" si="2"/>
        <v>2987.0004600000002</v>
      </c>
      <c r="I65" s="18"/>
      <c r="J65" s="18">
        <v>7000</v>
      </c>
      <c r="K65" s="18">
        <f t="shared" si="3"/>
        <v>7000</v>
      </c>
    </row>
    <row r="66" spans="1:11" s="13" customFormat="1" ht="51" customHeight="1" thickTop="1" thickBot="1" x14ac:dyDescent="0.35">
      <c r="A66" s="14">
        <v>71</v>
      </c>
      <c r="B66" s="15" t="s">
        <v>63</v>
      </c>
      <c r="C66" s="16">
        <v>105519</v>
      </c>
      <c r="D66" s="17">
        <v>0</v>
      </c>
      <c r="E66" s="17">
        <v>11.208</v>
      </c>
      <c r="F66" s="17">
        <f t="shared" si="0"/>
        <v>11.208</v>
      </c>
      <c r="G66" s="17">
        <v>2197.94</v>
      </c>
      <c r="H66" s="18">
        <f t="shared" si="2"/>
        <v>24634.51152</v>
      </c>
      <c r="I66" s="18"/>
      <c r="J66" s="18">
        <v>7000</v>
      </c>
      <c r="K66" s="18">
        <f t="shared" si="3"/>
        <v>7000</v>
      </c>
    </row>
    <row r="67" spans="1:11" s="13" customFormat="1" ht="51" customHeight="1" thickTop="1" thickBot="1" x14ac:dyDescent="0.35">
      <c r="A67" s="14">
        <v>72</v>
      </c>
      <c r="B67" s="15" t="s">
        <v>64</v>
      </c>
      <c r="C67" s="16">
        <v>106177</v>
      </c>
      <c r="D67" s="17">
        <v>0</v>
      </c>
      <c r="E67" s="17">
        <v>9.5190000000000001</v>
      </c>
      <c r="F67" s="17">
        <f t="shared" si="0"/>
        <v>9.5190000000000001</v>
      </c>
      <c r="G67" s="17">
        <v>2197.94</v>
      </c>
      <c r="H67" s="18">
        <f t="shared" si="2"/>
        <v>20922.190860000002</v>
      </c>
      <c r="I67" s="18"/>
      <c r="J67" s="18">
        <v>7000</v>
      </c>
      <c r="K67" s="18">
        <f t="shared" si="3"/>
        <v>7000</v>
      </c>
    </row>
    <row r="68" spans="1:11" s="13" customFormat="1" ht="51" customHeight="1" thickTop="1" x14ac:dyDescent="0.3">
      <c r="A68" s="27">
        <v>73</v>
      </c>
      <c r="B68" s="28" t="s">
        <v>65</v>
      </c>
      <c r="C68" s="29">
        <v>106221</v>
      </c>
      <c r="D68" s="30">
        <v>17.376999999999999</v>
      </c>
      <c r="E68" s="30">
        <v>24.989000000000001</v>
      </c>
      <c r="F68" s="30">
        <f t="shared" si="0"/>
        <v>7.6120000000000019</v>
      </c>
      <c r="G68" s="30">
        <v>2197.94</v>
      </c>
      <c r="H68" s="31">
        <f t="shared" si="2"/>
        <v>16730.719280000005</v>
      </c>
      <c r="I68" s="31">
        <v>1073</v>
      </c>
      <c r="J68" s="31">
        <v>7000</v>
      </c>
      <c r="K68" s="31">
        <f t="shared" ref="K68:K88" si="4">H68+I68+J68</f>
        <v>24803.719280000005</v>
      </c>
    </row>
    <row r="69" spans="1:11" s="13" customFormat="1" ht="51" customHeight="1" x14ac:dyDescent="0.3">
      <c r="A69" s="2">
        <v>74</v>
      </c>
      <c r="B69" s="6" t="s">
        <v>66</v>
      </c>
      <c r="C69" s="5">
        <v>106229</v>
      </c>
      <c r="D69" s="6">
        <v>14.77</v>
      </c>
      <c r="E69" s="6">
        <v>17.241</v>
      </c>
      <c r="F69" s="6">
        <f t="shared" si="0"/>
        <v>2.4710000000000001</v>
      </c>
      <c r="G69" s="6">
        <v>2197.94</v>
      </c>
      <c r="H69" s="7">
        <f t="shared" si="2"/>
        <v>5431.1097399999999</v>
      </c>
      <c r="I69" s="7">
        <v>1073</v>
      </c>
      <c r="J69" s="7">
        <v>7000</v>
      </c>
      <c r="K69" s="7">
        <f t="shared" si="4"/>
        <v>13504.10974</v>
      </c>
    </row>
    <row r="70" spans="1:11" s="13" customFormat="1" ht="51" customHeight="1" x14ac:dyDescent="0.3">
      <c r="A70" s="43">
        <v>75</v>
      </c>
      <c r="B70" s="32" t="s">
        <v>67</v>
      </c>
      <c r="C70" s="33">
        <v>106135</v>
      </c>
      <c r="D70" s="34">
        <v>0.159</v>
      </c>
      <c r="E70" s="34">
        <v>0.159</v>
      </c>
      <c r="F70" s="34">
        <f t="shared" si="0"/>
        <v>0</v>
      </c>
      <c r="G70" s="34">
        <v>2197.94</v>
      </c>
      <c r="H70" s="35">
        <f t="shared" si="2"/>
        <v>0</v>
      </c>
      <c r="I70" s="35">
        <v>0</v>
      </c>
      <c r="J70" s="35"/>
      <c r="K70" s="35">
        <f t="shared" si="4"/>
        <v>0</v>
      </c>
    </row>
    <row r="71" spans="1:11" s="13" customFormat="1" ht="51" customHeight="1" x14ac:dyDescent="0.3">
      <c r="A71" s="2">
        <v>76</v>
      </c>
      <c r="B71" s="4" t="s">
        <v>68</v>
      </c>
      <c r="C71" s="5">
        <v>106137</v>
      </c>
      <c r="D71" s="6">
        <v>7.01</v>
      </c>
      <c r="E71" s="6">
        <v>7.9370000000000003</v>
      </c>
      <c r="F71" s="6">
        <f t="shared" si="0"/>
        <v>0.92700000000000049</v>
      </c>
      <c r="G71" s="6">
        <v>2197.94</v>
      </c>
      <c r="H71" s="7">
        <f t="shared" si="2"/>
        <v>2037.4903800000011</v>
      </c>
      <c r="I71" s="7">
        <v>1073</v>
      </c>
      <c r="J71" s="7">
        <v>7000</v>
      </c>
      <c r="K71" s="7">
        <f t="shared" si="4"/>
        <v>10110.490380000001</v>
      </c>
    </row>
    <row r="72" spans="1:11" s="13" customFormat="1" ht="51" customHeight="1" x14ac:dyDescent="0.3">
      <c r="A72" s="2">
        <v>77</v>
      </c>
      <c r="B72" s="36" t="s">
        <v>69</v>
      </c>
      <c r="C72" s="5">
        <v>106140</v>
      </c>
      <c r="D72" s="6">
        <v>19.797999999999998</v>
      </c>
      <c r="E72" s="6">
        <v>27.047000000000001</v>
      </c>
      <c r="F72" s="6">
        <f t="shared" si="0"/>
        <v>7.2490000000000023</v>
      </c>
      <c r="G72" s="6">
        <v>2197.94</v>
      </c>
      <c r="H72" s="7">
        <f t="shared" si="2"/>
        <v>15932.867060000006</v>
      </c>
      <c r="I72" s="7">
        <v>1073</v>
      </c>
      <c r="J72" s="7">
        <v>7000</v>
      </c>
      <c r="K72" s="7">
        <f t="shared" si="4"/>
        <v>24005.867060000004</v>
      </c>
    </row>
    <row r="73" spans="1:11" s="13" customFormat="1" ht="51" customHeight="1" x14ac:dyDescent="0.3">
      <c r="A73" s="2">
        <v>78</v>
      </c>
      <c r="B73" s="4" t="s">
        <v>70</v>
      </c>
      <c r="C73" s="5">
        <v>106228</v>
      </c>
      <c r="D73" s="6">
        <v>12.042999999999999</v>
      </c>
      <c r="E73" s="6">
        <v>20.899000000000001</v>
      </c>
      <c r="F73" s="6">
        <f t="shared" si="0"/>
        <v>8.8560000000000016</v>
      </c>
      <c r="G73" s="6">
        <v>2197.94</v>
      </c>
      <c r="H73" s="7">
        <f t="shared" si="2"/>
        <v>19464.956640000004</v>
      </c>
      <c r="I73" s="7">
        <v>1073</v>
      </c>
      <c r="J73" s="7">
        <v>7000</v>
      </c>
      <c r="K73" s="7">
        <f t="shared" si="4"/>
        <v>27537.956640000004</v>
      </c>
    </row>
    <row r="74" spans="1:11" s="13" customFormat="1" ht="51" customHeight="1" x14ac:dyDescent="0.3">
      <c r="A74" s="2">
        <v>79</v>
      </c>
      <c r="B74" s="6" t="s">
        <v>71</v>
      </c>
      <c r="C74" s="5">
        <v>106139</v>
      </c>
      <c r="D74" s="6">
        <v>17.151</v>
      </c>
      <c r="E74" s="6">
        <v>25.196000000000002</v>
      </c>
      <c r="F74" s="6">
        <f t="shared" si="0"/>
        <v>8.0450000000000017</v>
      </c>
      <c r="G74" s="6">
        <v>2197.94</v>
      </c>
      <c r="H74" s="7">
        <f t="shared" si="2"/>
        <v>17682.427300000003</v>
      </c>
      <c r="I74" s="7">
        <v>1073</v>
      </c>
      <c r="J74" s="7">
        <v>7000</v>
      </c>
      <c r="K74" s="7">
        <f t="shared" si="4"/>
        <v>25755.427300000003</v>
      </c>
    </row>
    <row r="75" spans="1:11" s="13" customFormat="1" ht="51" customHeight="1" x14ac:dyDescent="0.3">
      <c r="A75" s="2">
        <v>80</v>
      </c>
      <c r="B75" s="4" t="s">
        <v>72</v>
      </c>
      <c r="C75" s="5">
        <v>106227</v>
      </c>
      <c r="D75" s="6">
        <v>19.908999999999999</v>
      </c>
      <c r="E75" s="6">
        <v>27.541</v>
      </c>
      <c r="F75" s="6">
        <f t="shared" si="0"/>
        <v>7.6320000000000014</v>
      </c>
      <c r="G75" s="6">
        <v>2197.94</v>
      </c>
      <c r="H75" s="7">
        <f t="shared" si="2"/>
        <v>16774.678080000005</v>
      </c>
      <c r="I75" s="7">
        <v>1073</v>
      </c>
      <c r="J75" s="7">
        <v>7000</v>
      </c>
      <c r="K75" s="7">
        <f t="shared" si="4"/>
        <v>24847.678080000005</v>
      </c>
    </row>
    <row r="76" spans="1:11" s="13" customFormat="1" ht="51" customHeight="1" x14ac:dyDescent="0.3">
      <c r="A76" s="2">
        <v>81</v>
      </c>
      <c r="B76" s="4" t="s">
        <v>73</v>
      </c>
      <c r="C76" s="5">
        <v>106131</v>
      </c>
      <c r="D76" s="6">
        <v>30.393999999999998</v>
      </c>
      <c r="E76" s="6">
        <v>44.792999999999999</v>
      </c>
      <c r="F76" s="6">
        <f t="shared" si="0"/>
        <v>14.399000000000001</v>
      </c>
      <c r="G76" s="6">
        <v>2197.94</v>
      </c>
      <c r="H76" s="7">
        <f t="shared" si="2"/>
        <v>31648.138060000001</v>
      </c>
      <c r="I76" s="7">
        <v>1073</v>
      </c>
      <c r="J76" s="7">
        <v>7000</v>
      </c>
      <c r="K76" s="7">
        <f t="shared" si="4"/>
        <v>39721.138059999997</v>
      </c>
    </row>
    <row r="77" spans="1:11" s="13" customFormat="1" ht="51" customHeight="1" x14ac:dyDescent="0.3">
      <c r="A77" s="2">
        <v>82</v>
      </c>
      <c r="B77" s="4" t="s">
        <v>74</v>
      </c>
      <c r="C77" s="5">
        <v>106138</v>
      </c>
      <c r="D77" s="6">
        <v>4.9820000000000002</v>
      </c>
      <c r="E77" s="6">
        <v>6.7110000000000003</v>
      </c>
      <c r="F77" s="6">
        <f t="shared" si="0"/>
        <v>1.7290000000000001</v>
      </c>
      <c r="G77" s="6">
        <v>2197.94</v>
      </c>
      <c r="H77" s="7">
        <f t="shared" si="2"/>
        <v>3800.2382600000001</v>
      </c>
      <c r="I77" s="7">
        <v>1073</v>
      </c>
      <c r="J77" s="7">
        <v>7000</v>
      </c>
      <c r="K77" s="7">
        <f t="shared" si="4"/>
        <v>11873.23826</v>
      </c>
    </row>
    <row r="78" spans="1:11" s="13" customFormat="1" ht="51" customHeight="1" x14ac:dyDescent="0.3">
      <c r="A78" s="37">
        <v>83</v>
      </c>
      <c r="B78" s="38" t="s">
        <v>75</v>
      </c>
      <c r="C78" s="39">
        <v>106222</v>
      </c>
      <c r="D78" s="40">
        <v>11.253</v>
      </c>
      <c r="E78" s="40">
        <v>17.57</v>
      </c>
      <c r="F78" s="40">
        <f t="shared" si="0"/>
        <v>6.3170000000000002</v>
      </c>
      <c r="G78" s="40">
        <v>2197.94</v>
      </c>
      <c r="H78" s="41">
        <f t="shared" si="2"/>
        <v>13884.386980000001</v>
      </c>
      <c r="I78" s="41">
        <v>1073</v>
      </c>
      <c r="J78" s="41">
        <v>7000</v>
      </c>
      <c r="K78" s="41">
        <f t="shared" si="4"/>
        <v>21957.386980000003</v>
      </c>
    </row>
    <row r="79" spans="1:11" s="13" customFormat="1" ht="51" customHeight="1" x14ac:dyDescent="0.3">
      <c r="A79" s="2">
        <v>84</v>
      </c>
      <c r="B79" s="4" t="s">
        <v>76</v>
      </c>
      <c r="C79" s="5">
        <v>106123</v>
      </c>
      <c r="D79" s="6">
        <v>10.206</v>
      </c>
      <c r="E79" s="6">
        <v>15.106</v>
      </c>
      <c r="F79" s="6">
        <f t="shared" si="0"/>
        <v>4.9000000000000004</v>
      </c>
      <c r="G79" s="6">
        <v>2197.94</v>
      </c>
      <c r="H79" s="7">
        <f t="shared" si="2"/>
        <v>10769.906000000001</v>
      </c>
      <c r="I79" s="7">
        <v>1073</v>
      </c>
      <c r="J79" s="7">
        <v>7000</v>
      </c>
      <c r="K79" s="7">
        <f t="shared" si="4"/>
        <v>18842.906000000003</v>
      </c>
    </row>
    <row r="80" spans="1:11" ht="51" customHeight="1" x14ac:dyDescent="0.3">
      <c r="A80" s="2">
        <v>85</v>
      </c>
      <c r="B80" s="4" t="s">
        <v>77</v>
      </c>
      <c r="C80" s="5">
        <v>106134</v>
      </c>
      <c r="D80" s="6">
        <v>42.325000000000003</v>
      </c>
      <c r="E80" s="6">
        <v>56.207999999999998</v>
      </c>
      <c r="F80" s="6">
        <f t="shared" si="0"/>
        <v>13.882999999999996</v>
      </c>
      <c r="G80" s="6">
        <v>2197.94</v>
      </c>
      <c r="H80" s="7">
        <f t="shared" si="2"/>
        <v>30514.001019999992</v>
      </c>
      <c r="I80" s="7">
        <v>1073</v>
      </c>
      <c r="J80" s="7">
        <v>7000</v>
      </c>
      <c r="K80" s="7">
        <f t="shared" si="4"/>
        <v>38587.001019999996</v>
      </c>
    </row>
    <row r="81" spans="1:11" ht="51" customHeight="1" x14ac:dyDescent="0.3">
      <c r="A81" s="2">
        <v>86</v>
      </c>
      <c r="B81" s="4" t="s">
        <v>78</v>
      </c>
      <c r="C81" s="5">
        <v>106125</v>
      </c>
      <c r="D81" s="6">
        <v>18.03</v>
      </c>
      <c r="E81" s="6">
        <v>24.65</v>
      </c>
      <c r="F81" s="6">
        <f t="shared" si="0"/>
        <v>6.6199999999999974</v>
      </c>
      <c r="G81" s="6">
        <v>2197.94</v>
      </c>
      <c r="H81" s="7">
        <f t="shared" si="2"/>
        <v>14550.362799999995</v>
      </c>
      <c r="I81" s="7">
        <v>1073</v>
      </c>
      <c r="J81" s="7">
        <v>7000</v>
      </c>
      <c r="K81" s="7">
        <f t="shared" si="4"/>
        <v>22623.362799999995</v>
      </c>
    </row>
    <row r="82" spans="1:11" ht="51" customHeight="1" x14ac:dyDescent="0.3">
      <c r="A82" s="2">
        <v>87</v>
      </c>
      <c r="B82" s="4" t="s">
        <v>79</v>
      </c>
      <c r="C82" s="5">
        <v>106133</v>
      </c>
      <c r="D82" s="6">
        <v>15.323</v>
      </c>
      <c r="E82" s="6">
        <v>20.82</v>
      </c>
      <c r="F82" s="6">
        <f t="shared" si="0"/>
        <v>5.4969999999999999</v>
      </c>
      <c r="G82" s="6">
        <v>2197.94</v>
      </c>
      <c r="H82" s="7">
        <f t="shared" si="2"/>
        <v>12082.07618</v>
      </c>
      <c r="I82" s="7">
        <v>1073</v>
      </c>
      <c r="J82" s="7">
        <v>7000</v>
      </c>
      <c r="K82" s="7">
        <f t="shared" si="4"/>
        <v>20155.07618</v>
      </c>
    </row>
    <row r="83" spans="1:11" ht="51" customHeight="1" x14ac:dyDescent="0.3">
      <c r="A83" s="2">
        <v>88</v>
      </c>
      <c r="B83" s="4" t="s">
        <v>80</v>
      </c>
      <c r="C83" s="5">
        <v>106127</v>
      </c>
      <c r="D83" s="6">
        <v>27.631</v>
      </c>
      <c r="E83" s="6">
        <v>38.603000000000002</v>
      </c>
      <c r="F83" s="6">
        <f t="shared" si="0"/>
        <v>10.972000000000001</v>
      </c>
      <c r="G83" s="6">
        <v>2197.94</v>
      </c>
      <c r="H83" s="7">
        <f t="shared" si="2"/>
        <v>24115.797680000003</v>
      </c>
      <c r="I83" s="7">
        <v>1073</v>
      </c>
      <c r="J83" s="7">
        <v>7000</v>
      </c>
      <c r="K83" s="7">
        <f t="shared" si="4"/>
        <v>32188.797680000003</v>
      </c>
    </row>
    <row r="84" spans="1:11" ht="51" customHeight="1" x14ac:dyDescent="0.3">
      <c r="A84" s="2">
        <v>89</v>
      </c>
      <c r="B84" s="4" t="s">
        <v>81</v>
      </c>
      <c r="C84" s="5">
        <v>106128</v>
      </c>
      <c r="D84" s="6">
        <v>47.307000000000002</v>
      </c>
      <c r="E84" s="6">
        <v>59.554000000000002</v>
      </c>
      <c r="F84" s="6">
        <f t="shared" si="0"/>
        <v>12.247</v>
      </c>
      <c r="G84" s="6">
        <v>2197.94</v>
      </c>
      <c r="H84" s="7">
        <f t="shared" si="2"/>
        <v>26918.171180000001</v>
      </c>
      <c r="I84" s="7">
        <v>1073</v>
      </c>
      <c r="J84" s="7">
        <v>7000</v>
      </c>
      <c r="K84" s="7">
        <f t="shared" si="4"/>
        <v>34991.171180000005</v>
      </c>
    </row>
    <row r="85" spans="1:11" ht="51" customHeight="1" x14ac:dyDescent="0.3">
      <c r="A85" s="2">
        <v>90</v>
      </c>
      <c r="B85" s="4" t="s">
        <v>82</v>
      </c>
      <c r="C85" s="5">
        <v>106129</v>
      </c>
      <c r="D85" s="6">
        <v>9.0920000000000005</v>
      </c>
      <c r="E85" s="6">
        <v>11.598000000000001</v>
      </c>
      <c r="F85" s="6">
        <f t="shared" si="0"/>
        <v>2.5060000000000002</v>
      </c>
      <c r="G85" s="6">
        <v>2197.94</v>
      </c>
      <c r="H85" s="7">
        <f t="shared" si="2"/>
        <v>5508.0376400000005</v>
      </c>
      <c r="I85" s="7">
        <v>1073</v>
      </c>
      <c r="J85" s="7">
        <v>7000</v>
      </c>
      <c r="K85" s="7">
        <f t="shared" si="4"/>
        <v>13581.03764</v>
      </c>
    </row>
    <row r="86" spans="1:11" ht="51" customHeight="1" x14ac:dyDescent="0.3">
      <c r="A86" s="2">
        <v>91</v>
      </c>
      <c r="B86" s="6" t="s">
        <v>83</v>
      </c>
      <c r="C86" s="5">
        <v>106130</v>
      </c>
      <c r="D86" s="6">
        <v>24.725000000000001</v>
      </c>
      <c r="E86" s="6">
        <v>33.578000000000003</v>
      </c>
      <c r="F86" s="6">
        <f t="shared" si="0"/>
        <v>8.8530000000000015</v>
      </c>
      <c r="G86" s="6">
        <v>2197.94</v>
      </c>
      <c r="H86" s="7">
        <f t="shared" si="2"/>
        <v>19458.362820000002</v>
      </c>
      <c r="I86" s="7">
        <v>1073</v>
      </c>
      <c r="J86" s="7">
        <v>7000</v>
      </c>
      <c r="K86" s="7">
        <f t="shared" si="4"/>
        <v>27531.362820000002</v>
      </c>
    </row>
    <row r="87" spans="1:11" ht="51" customHeight="1" x14ac:dyDescent="0.3">
      <c r="A87" s="37">
        <v>92</v>
      </c>
      <c r="B87" s="38" t="s">
        <v>84</v>
      </c>
      <c r="C87" s="39">
        <v>106121</v>
      </c>
      <c r="D87" s="40">
        <v>2.11</v>
      </c>
      <c r="E87" s="40">
        <v>2.11</v>
      </c>
      <c r="F87" s="40">
        <f t="shared" si="0"/>
        <v>0</v>
      </c>
      <c r="G87" s="40">
        <v>2197.94</v>
      </c>
      <c r="H87" s="41">
        <f>F87*G87</f>
        <v>0</v>
      </c>
      <c r="I87" s="41">
        <v>1073</v>
      </c>
      <c r="J87" s="41">
        <v>0</v>
      </c>
      <c r="K87" s="41">
        <f t="shared" si="4"/>
        <v>1073</v>
      </c>
    </row>
    <row r="88" spans="1:11" ht="51" customHeight="1" x14ac:dyDescent="0.3">
      <c r="A88" s="37">
        <v>92</v>
      </c>
      <c r="B88" s="38" t="s">
        <v>85</v>
      </c>
      <c r="C88" s="39">
        <v>105148</v>
      </c>
      <c r="D88" s="40">
        <v>6.4139999999999997</v>
      </c>
      <c r="E88" s="40">
        <v>9.0210000000000008</v>
      </c>
      <c r="F88" s="40">
        <f t="shared" si="0"/>
        <v>2.6070000000000011</v>
      </c>
      <c r="G88" s="40">
        <v>2197.94</v>
      </c>
      <c r="H88" s="41">
        <f t="shared" si="2"/>
        <v>5730.0295800000022</v>
      </c>
      <c r="I88" s="41">
        <v>1073</v>
      </c>
      <c r="J88" s="41">
        <v>0</v>
      </c>
      <c r="K88" s="41">
        <f t="shared" si="4"/>
        <v>6803.0295800000022</v>
      </c>
    </row>
    <row r="89" spans="1:11" s="13" customFormat="1" ht="51" customHeight="1" x14ac:dyDescent="0.3">
      <c r="B89" s="3"/>
      <c r="C89" s="42"/>
      <c r="E89" s="3"/>
      <c r="F89" s="3"/>
      <c r="G89" s="3"/>
      <c r="H89" s="3"/>
      <c r="I89" s="3"/>
      <c r="J89" s="3"/>
      <c r="K89" s="3"/>
    </row>
    <row r="90" spans="1:11" s="13" customFormat="1" ht="51" customHeight="1" x14ac:dyDescent="0.3">
      <c r="B90" s="3"/>
      <c r="C90" s="42"/>
      <c r="E90" s="3"/>
      <c r="F90" s="3"/>
      <c r="G90" s="3"/>
      <c r="H90" s="3"/>
      <c r="I90" s="3"/>
      <c r="J90" s="3"/>
      <c r="K90" s="3"/>
    </row>
    <row r="91" spans="1:11" s="13" customFormat="1" ht="51" customHeight="1" x14ac:dyDescent="0.3">
      <c r="B91" s="3"/>
      <c r="C91" s="42"/>
      <c r="E91" s="3"/>
      <c r="F91" s="3"/>
      <c r="G91" s="3"/>
      <c r="H91" s="3"/>
      <c r="I91" s="3"/>
      <c r="J91" s="3"/>
      <c r="K91" s="3"/>
    </row>
    <row r="92" spans="1:11" s="13" customFormat="1" ht="51" customHeight="1" x14ac:dyDescent="0.3">
      <c r="B92" s="3"/>
      <c r="C92" s="42"/>
      <c r="E92" s="3"/>
      <c r="F92" s="3"/>
      <c r="G92" s="3"/>
      <c r="H92" s="3"/>
      <c r="I92" s="3"/>
      <c r="J92" s="3"/>
      <c r="K92" s="3"/>
    </row>
    <row r="93" spans="1:11" s="13" customFormat="1" ht="51" customHeight="1" x14ac:dyDescent="0.3">
      <c r="B93" s="3"/>
      <c r="C93" s="42"/>
      <c r="E93" s="3"/>
      <c r="F93" s="3"/>
      <c r="G93" s="3"/>
      <c r="H93" s="3"/>
      <c r="I93" s="3"/>
      <c r="J93" s="3"/>
      <c r="K93" s="3"/>
    </row>
    <row r="94" spans="1:11" s="13" customFormat="1" ht="51" customHeight="1" x14ac:dyDescent="0.3">
      <c r="B94" s="3"/>
      <c r="C94" s="42"/>
      <c r="E94" s="3"/>
      <c r="F94" s="3"/>
      <c r="G94" s="3"/>
      <c r="H94" s="3"/>
      <c r="I94" s="3"/>
      <c r="J94" s="3"/>
      <c r="K94" s="3"/>
    </row>
    <row r="95" spans="1:11" s="13" customFormat="1" ht="51" customHeight="1" x14ac:dyDescent="0.3">
      <c r="B95" s="3"/>
      <c r="C95" s="42"/>
      <c r="E95" s="3"/>
      <c r="F95" s="3"/>
      <c r="G95" s="3"/>
      <c r="H95" s="3"/>
      <c r="I95" s="3"/>
      <c r="J95" s="3"/>
      <c r="K95" s="3"/>
    </row>
    <row r="96" spans="1:11" s="13" customFormat="1" ht="51" customHeight="1" x14ac:dyDescent="0.3">
      <c r="B96" s="3"/>
      <c r="C96" s="42"/>
      <c r="E96" s="3"/>
      <c r="F96" s="3"/>
      <c r="G96" s="3"/>
      <c r="H96" s="3"/>
      <c r="I96" s="3"/>
      <c r="J96" s="3"/>
      <c r="K96" s="3"/>
    </row>
    <row r="97" spans="2:11" s="13" customFormat="1" ht="51" customHeight="1" x14ac:dyDescent="0.3">
      <c r="B97" s="3"/>
      <c r="C97" s="42"/>
      <c r="E97" s="3"/>
      <c r="F97" s="3"/>
      <c r="G97" s="3"/>
      <c r="H97" s="3"/>
      <c r="I97" s="3"/>
      <c r="J97" s="3"/>
      <c r="K97" s="3"/>
    </row>
    <row r="98" spans="2:11" s="13" customFormat="1" ht="51" customHeight="1" x14ac:dyDescent="0.3">
      <c r="B98" s="3"/>
      <c r="C98" s="42"/>
      <c r="E98" s="3"/>
      <c r="F98" s="3"/>
      <c r="G98" s="3"/>
      <c r="H98" s="3"/>
      <c r="I98" s="3"/>
      <c r="J98" s="3"/>
      <c r="K98" s="3"/>
    </row>
    <row r="99" spans="2:11" s="13" customFormat="1" ht="51" customHeight="1" x14ac:dyDescent="0.3">
      <c r="B99" s="3"/>
      <c r="C99" s="42"/>
      <c r="E99" s="3"/>
      <c r="F99" s="3"/>
      <c r="G99" s="3"/>
      <c r="H99" s="3"/>
      <c r="I99" s="3"/>
      <c r="J99" s="3"/>
      <c r="K99" s="3"/>
    </row>
  </sheetData>
  <autoFilter ref="A1:K1" xr:uid="{118C4249-B8CD-47B4-A3C8-EDB3AED1A4DF}"/>
  <pageMargins left="0.7" right="0.7" top="0.75" bottom="0.75" header="0.3" footer="0.3"/>
  <pageSetup paperSize="9" orientation="portrait" r:id="rId1"/>
  <headerFooter>
    <oddHeader>&amp;CLECTURA DE MEDIDORES DE AGUA
BARRIO TRANSITORIO 13 DE MAYO&amp;RFECHA: _______________</oddHeader>
    <oddFooter>&amp;CCOMITÉ DE ADELANTO Y DESARROLLO 13 DE MAYO DE ANTOFAGASTA
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PLATAFORMA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Tina</dc:creator>
  <cp:lastModifiedBy>Mohammed sabra</cp:lastModifiedBy>
  <dcterms:created xsi:type="dcterms:W3CDTF">2026-02-05T02:13:31Z</dcterms:created>
  <dcterms:modified xsi:type="dcterms:W3CDTF">2026-02-05T22:55:14Z</dcterms:modified>
</cp:coreProperties>
</file>