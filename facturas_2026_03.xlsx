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rist\Documents\OFICINA\ATHOS\DEUDAS VECINOS\2026\2026-03\"/>
    </mc:Choice>
  </mc:AlternateContent>
  <xr:revisionPtr revIDLastSave="0" documentId="13_ncr:1_{A7A8FC9A-1BAE-401E-BC05-1BD583D89CE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 ETAPA" sheetId="1" r:id="rId1"/>
    <sheet name="II ETAPA" sheetId="3" r:id="rId2"/>
    <sheet name="MOROSOS " sheetId="4" r:id="rId3"/>
  </sheets>
  <definedNames>
    <definedName name="_xlnm._FilterDatabase" localSheetId="0" hidden="1">'I ETAPA'!$A$1:$K$50</definedName>
    <definedName name="_xlnm._FilterDatabase" localSheetId="1" hidden="1">'II ETAPA'!$A$1:$K$38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4" l="1"/>
  <c r="K3" i="1"/>
  <c r="D50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9" i="1"/>
  <c r="I20" i="1"/>
  <c r="I21" i="1"/>
  <c r="I22" i="1"/>
  <c r="I23" i="1"/>
  <c r="I24" i="1"/>
  <c r="I25" i="1"/>
  <c r="I27" i="1"/>
  <c r="I28" i="1"/>
  <c r="I29" i="1"/>
  <c r="I30" i="1"/>
  <c r="I31" i="1"/>
  <c r="I32" i="1"/>
  <c r="I33" i="1"/>
  <c r="I35" i="1"/>
  <c r="I36" i="1"/>
  <c r="I37" i="1"/>
  <c r="I38" i="1"/>
  <c r="I39" i="1"/>
  <c r="I40" i="1"/>
  <c r="I41" i="1"/>
  <c r="I42" i="1"/>
  <c r="I2" i="1"/>
  <c r="D38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4" i="3"/>
  <c r="I25" i="3"/>
  <c r="I26" i="3"/>
  <c r="I27" i="3"/>
  <c r="I28" i="3"/>
  <c r="I29" i="3"/>
  <c r="I30" i="3"/>
  <c r="I31" i="3"/>
  <c r="I32" i="3"/>
  <c r="I2" i="3"/>
  <c r="F3" i="3"/>
  <c r="H3" i="3" s="1"/>
  <c r="G2" i="4"/>
  <c r="G3" i="4"/>
  <c r="G4" i="4"/>
  <c r="G5" i="4"/>
  <c r="G6" i="4"/>
  <c r="F7" i="1"/>
  <c r="H7" i="1" s="1"/>
  <c r="F8" i="1"/>
  <c r="H8" i="1" s="1"/>
  <c r="K8" i="1" s="1"/>
  <c r="F9" i="1"/>
  <c r="H9" i="1" s="1"/>
  <c r="K9" i="1" s="1"/>
  <c r="F4" i="3"/>
  <c r="H4" i="3" s="1"/>
  <c r="K4" i="3" s="1"/>
  <c r="F5" i="3"/>
  <c r="H5" i="3" s="1"/>
  <c r="K5" i="3" s="1"/>
  <c r="F6" i="3"/>
  <c r="H6" i="3" s="1"/>
  <c r="K6" i="3" s="1"/>
  <c r="F7" i="3"/>
  <c r="H7" i="3" s="1"/>
  <c r="K7" i="3" s="1"/>
  <c r="F8" i="3"/>
  <c r="H8" i="3" s="1"/>
  <c r="K8" i="3" s="1"/>
  <c r="F9" i="3"/>
  <c r="H9" i="3" s="1"/>
  <c r="K9" i="3" s="1"/>
  <c r="F10" i="3"/>
  <c r="H10" i="3" s="1"/>
  <c r="K10" i="3" s="1"/>
  <c r="F11" i="3"/>
  <c r="H11" i="3" s="1"/>
  <c r="K11" i="3" s="1"/>
  <c r="F12" i="3"/>
  <c r="H12" i="3" s="1"/>
  <c r="K12" i="3" s="1"/>
  <c r="F13" i="3"/>
  <c r="H13" i="3" s="1"/>
  <c r="K13" i="3" s="1"/>
  <c r="F14" i="3"/>
  <c r="H14" i="3" s="1"/>
  <c r="K14" i="3" s="1"/>
  <c r="F15" i="3"/>
  <c r="H15" i="3" s="1"/>
  <c r="K15" i="3" s="1"/>
  <c r="F16" i="3"/>
  <c r="H16" i="3" s="1"/>
  <c r="K16" i="3" s="1"/>
  <c r="F17" i="3"/>
  <c r="H17" i="3" s="1"/>
  <c r="K17" i="3" s="1"/>
  <c r="F18" i="3"/>
  <c r="H18" i="3" s="1"/>
  <c r="K18" i="3" s="1"/>
  <c r="F19" i="3"/>
  <c r="H19" i="3" s="1"/>
  <c r="K19" i="3" s="1"/>
  <c r="F20" i="3"/>
  <c r="H20" i="3" s="1"/>
  <c r="K20" i="3" s="1"/>
  <c r="F21" i="3"/>
  <c r="H21" i="3" s="1"/>
  <c r="K21" i="3" s="1"/>
  <c r="F22" i="3"/>
  <c r="H22" i="3" s="1"/>
  <c r="K22" i="3" s="1"/>
  <c r="F23" i="3"/>
  <c r="H23" i="3" s="1"/>
  <c r="K23" i="3" s="1"/>
  <c r="F24" i="3"/>
  <c r="H24" i="3" s="1"/>
  <c r="K24" i="3" s="1"/>
  <c r="F25" i="3"/>
  <c r="F26" i="3"/>
  <c r="H26" i="3" s="1"/>
  <c r="K26" i="3" s="1"/>
  <c r="F27" i="3"/>
  <c r="H27" i="3" s="1"/>
  <c r="K27" i="3" s="1"/>
  <c r="F28" i="3"/>
  <c r="H28" i="3" s="1"/>
  <c r="K28" i="3" s="1"/>
  <c r="F29" i="3"/>
  <c r="H29" i="3" s="1"/>
  <c r="K29" i="3" s="1"/>
  <c r="F30" i="3"/>
  <c r="H30" i="3" s="1"/>
  <c r="K30" i="3" s="1"/>
  <c r="F31" i="3"/>
  <c r="H31" i="3" s="1"/>
  <c r="K31" i="3" s="1"/>
  <c r="F32" i="3"/>
  <c r="H32" i="3"/>
  <c r="K32" i="3" s="1"/>
  <c r="J46" i="1"/>
  <c r="C48" i="1"/>
  <c r="F33" i="3"/>
  <c r="H33" i="3" s="1"/>
  <c r="F2" i="3"/>
  <c r="H2" i="3" s="1"/>
  <c r="K2" i="3" s="1"/>
  <c r="J34" i="3"/>
  <c r="C36" i="3"/>
  <c r="I34" i="3"/>
  <c r="F45" i="1"/>
  <c r="K7" i="1" l="1"/>
  <c r="I18" i="1"/>
  <c r="I46" i="1" s="1"/>
  <c r="I34" i="1"/>
  <c r="K3" i="3"/>
  <c r="H25" i="3"/>
  <c r="K25" i="3" s="1"/>
  <c r="F34" i="3"/>
  <c r="K33" i="3" l="1"/>
  <c r="H34" i="3"/>
  <c r="D37" i="3" s="1"/>
  <c r="F3" i="1"/>
  <c r="H3" i="1" s="1"/>
  <c r="F4" i="1"/>
  <c r="H4" i="1" s="1"/>
  <c r="K4" i="1" s="1"/>
  <c r="F5" i="1"/>
  <c r="H5" i="1" s="1"/>
  <c r="K5" i="1" s="1"/>
  <c r="F6" i="1"/>
  <c r="H6" i="1" s="1"/>
  <c r="K6" i="1" s="1"/>
  <c r="F10" i="1"/>
  <c r="H10" i="1" s="1"/>
  <c r="K10" i="1" s="1"/>
  <c r="F11" i="1"/>
  <c r="H11" i="1" s="1"/>
  <c r="K11" i="1" s="1"/>
  <c r="F12" i="1"/>
  <c r="H12" i="1" s="1"/>
  <c r="K12" i="1" s="1"/>
  <c r="F13" i="1"/>
  <c r="H13" i="1" s="1"/>
  <c r="K13" i="1" s="1"/>
  <c r="F14" i="1"/>
  <c r="H14" i="1" s="1"/>
  <c r="K14" i="1" s="1"/>
  <c r="F15" i="1"/>
  <c r="H15" i="1" s="1"/>
  <c r="K15" i="1" s="1"/>
  <c r="F16" i="1"/>
  <c r="H16" i="1" s="1"/>
  <c r="K16" i="1" s="1"/>
  <c r="F17" i="1"/>
  <c r="H17" i="1" s="1"/>
  <c r="K17" i="1" s="1"/>
  <c r="F18" i="1"/>
  <c r="H18" i="1" s="1"/>
  <c r="K18" i="1" s="1"/>
  <c r="F19" i="1"/>
  <c r="H19" i="1" s="1"/>
  <c r="K19" i="1" s="1"/>
  <c r="F20" i="1"/>
  <c r="H20" i="1" s="1"/>
  <c r="K20" i="1" s="1"/>
  <c r="F21" i="1"/>
  <c r="H21" i="1" s="1"/>
  <c r="K21" i="1" s="1"/>
  <c r="F22" i="1"/>
  <c r="H22" i="1" s="1"/>
  <c r="K22" i="1" s="1"/>
  <c r="F23" i="1"/>
  <c r="H23" i="1" s="1"/>
  <c r="K23" i="1" s="1"/>
  <c r="F24" i="1"/>
  <c r="H24" i="1" s="1"/>
  <c r="K24" i="1" s="1"/>
  <c r="F25" i="1"/>
  <c r="H25" i="1" s="1"/>
  <c r="K25" i="1" s="1"/>
  <c r="F26" i="1"/>
  <c r="H26" i="1" s="1"/>
  <c r="K26" i="1" s="1"/>
  <c r="F27" i="1"/>
  <c r="H27" i="1" s="1"/>
  <c r="K27" i="1" s="1"/>
  <c r="F28" i="1"/>
  <c r="H28" i="1" s="1"/>
  <c r="K28" i="1" s="1"/>
  <c r="F29" i="1"/>
  <c r="H29" i="1" s="1"/>
  <c r="K29" i="1" s="1"/>
  <c r="F30" i="1"/>
  <c r="H30" i="1" s="1"/>
  <c r="K30" i="1" s="1"/>
  <c r="F31" i="1"/>
  <c r="H31" i="1" s="1"/>
  <c r="K31" i="1" s="1"/>
  <c r="F32" i="1"/>
  <c r="H32" i="1" s="1"/>
  <c r="K32" i="1" s="1"/>
  <c r="F33" i="1"/>
  <c r="H33" i="1" s="1"/>
  <c r="K33" i="1" s="1"/>
  <c r="F34" i="1"/>
  <c r="H34" i="1" s="1"/>
  <c r="K34" i="1" s="1"/>
  <c r="F35" i="1"/>
  <c r="H35" i="1" s="1"/>
  <c r="K35" i="1" s="1"/>
  <c r="F36" i="1"/>
  <c r="H36" i="1" s="1"/>
  <c r="K36" i="1" s="1"/>
  <c r="F37" i="1"/>
  <c r="H37" i="1" s="1"/>
  <c r="K37" i="1" s="1"/>
  <c r="F38" i="1"/>
  <c r="H38" i="1" s="1"/>
  <c r="K38" i="1" s="1"/>
  <c r="F39" i="1"/>
  <c r="H39" i="1" s="1"/>
  <c r="K39" i="1" s="1"/>
  <c r="F40" i="1"/>
  <c r="H40" i="1" s="1"/>
  <c r="K40" i="1" s="1"/>
  <c r="F41" i="1"/>
  <c r="H41" i="1" s="1"/>
  <c r="K41" i="1" s="1"/>
  <c r="F42" i="1"/>
  <c r="H42" i="1" s="1"/>
  <c r="K42" i="1" s="1"/>
  <c r="F43" i="1"/>
  <c r="H43" i="1" s="1"/>
  <c r="K43" i="1" s="1"/>
  <c r="F44" i="1"/>
  <c r="H44" i="1" s="1"/>
  <c r="K44" i="1" s="1"/>
  <c r="F2" i="1"/>
  <c r="F46" i="1" l="1"/>
  <c r="H2" i="1"/>
  <c r="H46" i="1" s="1"/>
  <c r="D49" i="1" s="1"/>
  <c r="K2" i="1" l="1"/>
  <c r="K45" i="1" s="1"/>
</calcChain>
</file>

<file path=xl/sharedStrings.xml><?xml version="1.0" encoding="utf-8"?>
<sst xmlns="http://schemas.openxmlformats.org/spreadsheetml/2006/main" count="129" uniqueCount="103">
  <si>
    <t>CASA</t>
  </si>
  <si>
    <t>SANDRA JANNINA ARMIJOS BONILLA</t>
  </si>
  <si>
    <t>KAREN ROCIO BALERIANO ORTIZ</t>
  </si>
  <si>
    <t>LINA YOANA ARIAS GUAPIZ</t>
  </si>
  <si>
    <t>FELIX ASPRILLA IBARQUEN</t>
  </si>
  <si>
    <t>AUREA CASTILLO QUIÑONES</t>
  </si>
  <si>
    <t>CARLA GABRIELA ZAMORA VERA</t>
  </si>
  <si>
    <t>ANGIE TATIANA ANGULO</t>
  </si>
  <si>
    <t>YORLI ANGULO QUIÑONES</t>
  </si>
  <si>
    <t>MARITZA MORAN MANCILLA</t>
  </si>
  <si>
    <t>PAULA VANESSA CHALA OROBIO</t>
  </si>
  <si>
    <t>ADELFA CAMAYO DAGUA</t>
  </si>
  <si>
    <t>JESÚS MARTÍNEZ ARBODELA MANCILLA</t>
  </si>
  <si>
    <t>ENRIQUE FAVIAN ZAMORA LINARES</t>
  </si>
  <si>
    <t>BETY CAMAYO MARTINEZ</t>
  </si>
  <si>
    <t xml:space="preserve">RAFAELA ROMERO OBREGON </t>
  </si>
  <si>
    <t>DAYANA MONTENEGRO ALDANA</t>
  </si>
  <si>
    <t>FRANKY MAURICIO CANDELO QUINTERO</t>
  </si>
  <si>
    <t>JOSÉ BERNARDO PULIDO CASTRILLÓN</t>
  </si>
  <si>
    <t>NILSON CUAMA VICTORIA</t>
  </si>
  <si>
    <t>RICARDO ANDRES BELTRAN DUQUE</t>
  </si>
  <si>
    <t>EDWIN FELIPE CORREA</t>
  </si>
  <si>
    <t>OFICINA</t>
  </si>
  <si>
    <t>WALTER ARTURO DÍAZ ROJAS</t>
  </si>
  <si>
    <t>LEIDY TATIANA DUARTE DÍAZ</t>
  </si>
  <si>
    <t>JOEL LUCIO CARTAGENA TIRINA</t>
  </si>
  <si>
    <t>MARTA TABORDA GONZALEZ</t>
  </si>
  <si>
    <t>YHAMILED GONZALEZ PARRA</t>
  </si>
  <si>
    <t>BERNARDINA ESPINOZA VELAZQUEZ</t>
  </si>
  <si>
    <t>GARITA</t>
  </si>
  <si>
    <t>SALA DE BASURA</t>
  </si>
  <si>
    <t>LECTURA ACTUAL</t>
  </si>
  <si>
    <t>NOMBRE DEL TITULAR DE LA VIVIENDA</t>
  </si>
  <si>
    <t xml:space="preserve">MOHAMMED SABRA </t>
  </si>
  <si>
    <t xml:space="preserve">SIN ASIGNAR </t>
  </si>
  <si>
    <t>ROSA DE LA CRUZ</t>
  </si>
  <si>
    <t>HILDA RAMIREZ</t>
  </si>
  <si>
    <t xml:space="preserve">LECTURA ANTERIOR </t>
  </si>
  <si>
    <t>REMARCARDOR PRINCIPAL</t>
  </si>
  <si>
    <t>PAULA SERNA CASSOS</t>
  </si>
  <si>
    <t>CONSUMO DE AGUA M3</t>
  </si>
  <si>
    <t>VALOR DE M3</t>
  </si>
  <si>
    <t>SUBTOTAL</t>
  </si>
  <si>
    <t>CONSUMO GENERAL</t>
  </si>
  <si>
    <t>GASTO COMUN</t>
  </si>
  <si>
    <t>LEIDY APONTE ROMÁN</t>
  </si>
  <si>
    <t>CARGO FIJO</t>
  </si>
  <si>
    <t>SUB TOTAL</t>
  </si>
  <si>
    <t>DIFERENCIA SUBTOTAL Y BOLETA</t>
  </si>
  <si>
    <t>CARGO CONSUMO GENERAL</t>
  </si>
  <si>
    <t>N° REMARCADOR</t>
  </si>
  <si>
    <t>DARYOLI MARBELLA MALAVE SANDOVAL</t>
  </si>
  <si>
    <t>TOTAL DICIEMBRE</t>
  </si>
  <si>
    <t>REMARCADOR II ETAPA</t>
  </si>
  <si>
    <t>SEDE</t>
  </si>
  <si>
    <t>TERESA NICOL CABALLERO VARGAS</t>
  </si>
  <si>
    <t>CARMEN ROSA ESPINOZA VEDIA</t>
  </si>
  <si>
    <t>SAMUEL SAIGUA PUMA</t>
  </si>
  <si>
    <t>CLAUDIA PAMELA SILVERA MAMANI</t>
  </si>
  <si>
    <t>GUILLERMO YUPARI QUISPE</t>
  </si>
  <si>
    <t>YOVANY ALEXANDER GODOY GRANDA</t>
  </si>
  <si>
    <t>LUZ PATRICIA CASTAÑEDA ACEVEDO</t>
  </si>
  <si>
    <t>LUZ STELLA ENRIQUEZ VELEZ</t>
  </si>
  <si>
    <t>MARIA GIOVANNA LOPEZ  VILLARROEL</t>
  </si>
  <si>
    <t>VERONICA ANA MENACHO SOSA</t>
  </si>
  <si>
    <t>GABRIEL CANAVIRI UMIRI</t>
  </si>
  <si>
    <t>GUSTAVO ENRIQUE ARAOS VILCHES</t>
  </si>
  <si>
    <t>ENILDA ANTINOPAY</t>
  </si>
  <si>
    <t>ANA YOLANDA PERLAZA ORTIZ</t>
  </si>
  <si>
    <t>CARLA YANIRA FIGUEROA ALARCON</t>
  </si>
  <si>
    <t>ALBERTO ANGULO GARCES</t>
  </si>
  <si>
    <t>MATILDE LERMA MANSILLA</t>
  </si>
  <si>
    <t>PACIFICA LERMA MANCILLA</t>
  </si>
  <si>
    <t>MARIA LESLY ACOSTA EUSE</t>
  </si>
  <si>
    <t>GETRUDES FELIPE GUTIERREZ</t>
  </si>
  <si>
    <t>YENNY MARIA ORDOÑEZ BECERRA</t>
  </si>
  <si>
    <t>ADENSON ALESANDER PAZ</t>
  </si>
  <si>
    <t>WASHINTON SANCHEZ RIOJO</t>
  </si>
  <si>
    <t>MIGUEL ANGEL LERMA MANCILLA</t>
  </si>
  <si>
    <t>SANTOS FERMÍN GODOY TENORIO</t>
  </si>
  <si>
    <t>SILVANA CAMACHO VENEGAS</t>
  </si>
  <si>
    <t>EDGAR CAYRA YUCRA</t>
  </si>
  <si>
    <t>EPIFANIA FERNANDEZ ORTEGA</t>
  </si>
  <si>
    <t>EDGAR ROQUE CRUZ</t>
  </si>
  <si>
    <t>DEUDA TOTAL</t>
  </si>
  <si>
    <t>DICIEMBRE</t>
  </si>
  <si>
    <t>ENERO</t>
  </si>
  <si>
    <t>FEBRERO</t>
  </si>
  <si>
    <t>NAHIR HUMAZA MASCAYA</t>
  </si>
  <si>
    <t>EMILIANA TORREJÓN CONDORI</t>
  </si>
  <si>
    <t>JHOVANNA MAMANI VECERRA</t>
  </si>
  <si>
    <t>DANIEL PINO NOVA</t>
  </si>
  <si>
    <t>ANA ACHU</t>
  </si>
  <si>
    <t>REMUNDA SANCHEZ MARTINEZ</t>
  </si>
  <si>
    <t>OBSERVACIONES</t>
  </si>
  <si>
    <t>NO RESPONDE A MENSAJES</t>
  </si>
  <si>
    <t>CASA DESOCUPADA</t>
  </si>
  <si>
    <t>CONSUMO 325 M3</t>
  </si>
  <si>
    <t>CONSUMO 318 M3</t>
  </si>
  <si>
    <t>SIN ASIGNAR</t>
  </si>
  <si>
    <t>NQS25202306733522</t>
  </si>
  <si>
    <t>TOTAL A PAGAR  factura feb-mar</t>
  </si>
  <si>
    <t>SE LE SOLICITA COMPROBANTE DE PAGO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</si>
</sst>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8"/>
      <name val="Calibri"/>
      <family val="2"/>
      <scheme val="minor"/>
    </font>
    <font>
      <sz val="12"/>
      <color rgb="FFFF0000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2" fontId="1" fillId="0" borderId="0" applyFon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42" fontId="2" fillId="0" borderId="0" xfId="0" applyNumberFormat="1" applyFont="1"/>
    <xf numFmtId="0" fontId="4" fillId="0" borderId="0" xfId="0" applyFont="1"/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/>
    <xf numFmtId="42" fontId="2" fillId="0" borderId="1" xfId="1" applyFont="1" applyFill="1" applyBorder="1"/>
    <xf numFmtId="42" fontId="3" fillId="0" borderId="1" xfId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/>
    <xf numFmtId="42" fontId="4" fillId="0" borderId="1" xfId="1" applyFont="1" applyFill="1" applyBorder="1"/>
    <xf numFmtId="0" fontId="8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 wrapText="1"/>
    </xf>
    <xf numFmtId="42" fontId="3" fillId="0" borderId="1" xfId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42" fontId="2" fillId="0" borderId="0" xfId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1" applyNumberFormat="1" applyFont="1" applyFill="1" applyBorder="1" applyAlignment="1">
      <alignment horizontal="left" vertical="center"/>
    </xf>
    <xf numFmtId="42" fontId="2" fillId="0" borderId="1" xfId="1" applyNumberFormat="1" applyFont="1" applyFill="1" applyBorder="1" applyAlignment="1">
      <alignment horizontal="left" vertical="center"/>
    </xf>
    <xf numFmtId="42" fontId="2" fillId="0" borderId="1" xfId="1" applyFont="1" applyFill="1" applyBorder="1" applyAlignment="1">
      <alignment horizontal="left" vertical="center"/>
    </xf>
    <xf numFmtId="42" fontId="3" fillId="0" borderId="1" xfId="1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" xfId="1" applyNumberFormat="1" applyFont="1" applyFill="1" applyBorder="1" applyAlignment="1">
      <alignment horizontal="left" vertical="center"/>
    </xf>
    <xf numFmtId="42" fontId="2" fillId="0" borderId="0" xfId="1" applyFont="1" applyFill="1" applyBorder="1" applyAlignment="1">
      <alignment horizontal="left" vertical="center"/>
    </xf>
    <xf numFmtId="42" fontId="3" fillId="0" borderId="0" xfId="1" applyFont="1" applyFill="1" applyAlignment="1">
      <alignment horizontal="left" vertical="center"/>
    </xf>
    <xf numFmtId="42" fontId="2" fillId="0" borderId="0" xfId="0" applyNumberFormat="1" applyFont="1" applyAlignment="1">
      <alignment horizontal="left" vertical="center"/>
    </xf>
    <xf numFmtId="42" fontId="2" fillId="0" borderId="0" xfId="1" applyFont="1" applyFill="1" applyAlignment="1">
      <alignment horizontal="left" vertical="center"/>
    </xf>
    <xf numFmtId="42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2" fillId="0" borderId="1" xfId="1" applyNumberFormat="1" applyFont="1" applyFill="1" applyBorder="1" applyAlignment="1">
      <alignment horizontal="center" vertical="center"/>
    </xf>
    <xf numFmtId="42" fontId="2" fillId="0" borderId="1" xfId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2" fontId="3" fillId="0" borderId="1" xfId="1" applyFont="1" applyFill="1" applyBorder="1" applyAlignment="1">
      <alignment horizontal="center" vertical="center"/>
    </xf>
    <xf numFmtId="0" fontId="3" fillId="0" borderId="1" xfId="1" applyNumberFormat="1" applyFont="1" applyFill="1" applyBorder="1" applyAlignment="1">
      <alignment horizontal="center" vertical="center"/>
    </xf>
    <xf numFmtId="42" fontId="3" fillId="0" borderId="0" xfId="1" applyFont="1" applyFill="1" applyAlignment="1">
      <alignment horizontal="center" vertical="center"/>
    </xf>
    <xf numFmtId="42" fontId="2" fillId="0" borderId="0" xfId="0" applyNumberFormat="1" applyFont="1" applyAlignment="1">
      <alignment horizontal="center" vertical="center"/>
    </xf>
    <xf numFmtId="42" fontId="2" fillId="0" borderId="0" xfId="1" applyFont="1" applyFill="1" applyAlignment="1">
      <alignment horizontal="center" vertical="center"/>
    </xf>
    <xf numFmtId="42" fontId="3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42" fontId="3" fillId="0" borderId="0" xfId="1" applyFont="1" applyFill="1" applyBorder="1" applyAlignment="1">
      <alignment horizontal="center" vertical="center"/>
    </xf>
    <xf numFmtId="42" fontId="2" fillId="0" borderId="0" xfId="1" applyFont="1" applyAlignment="1">
      <alignment horizontal="center" vertical="center"/>
    </xf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1AC2A27-2549-46DC-9171-F6096F92ACE4}">
  <we:reference id="wa200005271" version="2.5.5.0" store="es-ES" storeType="OMEX"/>
  <we:alternateReferences>
    <we:reference id="WA200005271" version="2.5.5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CC927DD-13EE-4A2D-B28B-56E3BF4F3C02}">
  <we:reference id="wa200006009" version="2.1.0.10" store="es-ES" storeType="OMEX"/>
  <we:alternateReferences>
    <we:reference id="WA200006009" version="2.1.0.10" store="WA200006009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_xldudf_SAI_ASK</we:customFunctionIds>
        <we:customFunctionIds>_xldudf_SAI_PROMPTARRAY</we:customFunctionIds>
        <we:customFunctionIds>_xldudf_SAI_GENERATETABLE</we:customFunctionIds>
        <we:customFunctionIds>_xldudf_SAI_FILL</we:customFunctionIds>
        <we:customFunctionIds>_xldudf_SAI_SPLIT</we:customFunctionIds>
        <we:customFunctionIds>_xldudf_SAI_EXTRACT</we:customFunctionIds>
        <we:customFunctionIds>_xldudf_SAI_EXTRACTARRAY</we:customFunctionIds>
        <we:customFunctionIds>_xldudf_SAI_EDIT</we:customFunctionIds>
        <we:customFunctionIds>_xldudf_SAI_EDITARRAY</we:customFunctionIds>
        <we:customFunctionIds>_xldudf_SAI_FORMAT</we:customFunctionIds>
        <we:customFunctionIds>_xldudf_SAI_FORMATARRAY</we:customFunctionIds>
        <we:customFunctionIds>_xldudf_SAI_CLASSIFY</we:customFunctionIds>
        <we:customFunctionIds>_xldudf_SAI_CLASSIFYARRAY</we:customFunctionIds>
        <we:customFunctionIds>_xldudf_SAI_TAG</we:customFunctionIds>
        <we:customFunctionIds>_xldudf_SAI_TAGARRAY</we:customFunctionIds>
        <we:customFunctionIds>_xldudf_SAI_SUMMARIZE</we:customFunctionIds>
        <we:customFunctionIds>_xldudf_SAI_SUMMARIZEARRAY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8"/>
  <sheetViews>
    <sheetView showGridLines="0" tabSelected="1" showRuler="0" zoomScale="70" zoomScaleNormal="70" zoomScaleSheetLayoutView="80" zoomScalePageLayoutView="136" workbookViewId="0">
      <pane ySplit="1" topLeftCell="A2" activePane="bottomLeft" state="frozen"/>
      <selection pane="bottomLeft" activeCell="O32" sqref="O32"/>
    </sheetView>
  </sheetViews>
  <sheetFormatPr baseColWidth="10" defaultColWidth="14.44140625" defaultRowHeight="51" customHeight="1" x14ac:dyDescent="0.3"/>
  <cols>
    <col min="1" max="1" width="7.77734375" style="23" customWidth="1"/>
    <col min="2" max="2" width="37.5546875" style="29" bestFit="1" customWidth="1"/>
    <col min="3" max="3" width="17" style="23" customWidth="1"/>
    <col min="4" max="4" width="14.88671875" style="21" customWidth="1"/>
    <col min="5" max="5" width="11.77734375" style="23" customWidth="1"/>
    <col min="6" max="6" width="17.33203125" style="23" customWidth="1"/>
    <col min="7" max="7" width="11.21875" style="23" bestFit="1" customWidth="1"/>
    <col min="8" max="8" width="13.88671875" style="23" bestFit="1" customWidth="1"/>
    <col min="9" max="9" width="14.44140625" style="23"/>
    <col min="10" max="10" width="11.109375" style="50" bestFit="1" customWidth="1"/>
    <col min="11" max="11" width="18.21875" style="50" bestFit="1" customWidth="1"/>
    <col min="12" max="12" width="14.44140625" style="50"/>
    <col min="13" max="16384" width="14.44140625" style="23"/>
  </cols>
  <sheetData>
    <row r="1" spans="1:17" ht="51" customHeight="1" x14ac:dyDescent="0.3">
      <c r="A1" s="4" t="s">
        <v>0</v>
      </c>
      <c r="B1" s="4" t="s">
        <v>32</v>
      </c>
      <c r="C1" s="18" t="s">
        <v>50</v>
      </c>
      <c r="D1" s="4" t="s">
        <v>37</v>
      </c>
      <c r="E1" s="4" t="s">
        <v>31</v>
      </c>
      <c r="F1" s="4" t="s">
        <v>40</v>
      </c>
      <c r="G1" s="4" t="s">
        <v>41</v>
      </c>
      <c r="H1" s="5" t="s">
        <v>42</v>
      </c>
      <c r="I1" s="4" t="s">
        <v>43</v>
      </c>
      <c r="J1" s="19" t="s">
        <v>44</v>
      </c>
      <c r="K1" s="19" t="s">
        <v>101</v>
      </c>
    </row>
    <row r="2" spans="1:17" ht="51" customHeight="1" x14ac:dyDescent="0.3">
      <c r="A2" s="5">
        <v>1</v>
      </c>
      <c r="B2" s="6" t="s">
        <v>1</v>
      </c>
      <c r="C2" s="14">
        <v>106122</v>
      </c>
      <c r="D2" s="26">
        <v>85.507000000000005</v>
      </c>
      <c r="E2" s="26">
        <v>112.191</v>
      </c>
      <c r="F2" s="26">
        <f t="shared" ref="F2:F45" si="0">E2-D2</f>
        <v>26.683999999999997</v>
      </c>
      <c r="G2" s="26">
        <v>2197.4</v>
      </c>
      <c r="H2" s="43">
        <f t="shared" ref="H2:H44" si="1">F2*G2</f>
        <v>58635.421599999994</v>
      </c>
      <c r="I2" s="44">
        <f>$D$50</f>
        <v>1812.9525538461569</v>
      </c>
      <c r="J2" s="44">
        <v>7000</v>
      </c>
      <c r="K2" s="44">
        <f t="shared" ref="K2:K8" si="2">H2+I2+J2</f>
        <v>67448.374153846147</v>
      </c>
    </row>
    <row r="3" spans="1:17" ht="51" customHeight="1" x14ac:dyDescent="0.3">
      <c r="A3" s="5">
        <v>2</v>
      </c>
      <c r="B3" s="6" t="s">
        <v>2</v>
      </c>
      <c r="C3" s="14">
        <v>106124</v>
      </c>
      <c r="D3" s="26">
        <v>25.795999999999999</v>
      </c>
      <c r="E3" s="26">
        <v>28.141999999999999</v>
      </c>
      <c r="F3" s="26">
        <f t="shared" si="0"/>
        <v>2.3460000000000001</v>
      </c>
      <c r="G3" s="26">
        <v>2197.4</v>
      </c>
      <c r="H3" s="43">
        <f t="shared" si="1"/>
        <v>5155.1004000000003</v>
      </c>
      <c r="I3" s="44">
        <f t="shared" ref="I3:I45" si="3">$D$50</f>
        <v>1812.9525538461569</v>
      </c>
      <c r="J3" s="44">
        <v>4717</v>
      </c>
      <c r="K3" s="44">
        <f t="shared" si="2"/>
        <v>11685.052953846156</v>
      </c>
      <c r="M3" s="54"/>
    </row>
    <row r="4" spans="1:17" ht="51" customHeight="1" x14ac:dyDescent="0.3">
      <c r="A4" s="5">
        <v>3</v>
      </c>
      <c r="B4" s="6" t="s">
        <v>3</v>
      </c>
      <c r="C4" s="14">
        <v>106126</v>
      </c>
      <c r="D4" s="26">
        <v>24.664999999999999</v>
      </c>
      <c r="E4" s="26">
        <v>29.765999999999998</v>
      </c>
      <c r="F4" s="26">
        <f t="shared" si="0"/>
        <v>5.1009999999999991</v>
      </c>
      <c r="G4" s="26">
        <v>2197.4</v>
      </c>
      <c r="H4" s="43">
        <f t="shared" si="1"/>
        <v>11208.937399999999</v>
      </c>
      <c r="I4" s="44">
        <f t="shared" si="3"/>
        <v>1812.9525538461569</v>
      </c>
      <c r="J4" s="44">
        <v>7000</v>
      </c>
      <c r="K4" s="44">
        <f t="shared" si="2"/>
        <v>20021.889953846156</v>
      </c>
    </row>
    <row r="5" spans="1:17" ht="51" customHeight="1" x14ac:dyDescent="0.3">
      <c r="A5" s="5">
        <v>7</v>
      </c>
      <c r="B5" s="6" t="s">
        <v>4</v>
      </c>
      <c r="C5" s="14">
        <v>106132</v>
      </c>
      <c r="D5" s="26">
        <v>33.735999999999997</v>
      </c>
      <c r="E5" s="26">
        <v>37.914999999999999</v>
      </c>
      <c r="F5" s="26">
        <f t="shared" si="0"/>
        <v>4.179000000000002</v>
      </c>
      <c r="G5" s="26">
        <v>2197.4</v>
      </c>
      <c r="H5" s="43">
        <f t="shared" si="1"/>
        <v>9182.9346000000041</v>
      </c>
      <c r="I5" s="44">
        <f t="shared" si="3"/>
        <v>1812.9525538461569</v>
      </c>
      <c r="J5" s="44">
        <v>7000</v>
      </c>
      <c r="K5" s="44">
        <f t="shared" si="2"/>
        <v>17995.887153846161</v>
      </c>
    </row>
    <row r="6" spans="1:17" ht="51" customHeight="1" x14ac:dyDescent="0.3">
      <c r="A6" s="5">
        <v>10</v>
      </c>
      <c r="B6" s="6" t="s">
        <v>5</v>
      </c>
      <c r="C6" s="14">
        <v>106224</v>
      </c>
      <c r="D6" s="26">
        <v>94.18</v>
      </c>
      <c r="E6" s="26">
        <v>111.411</v>
      </c>
      <c r="F6" s="26">
        <f t="shared" si="0"/>
        <v>17.230999999999995</v>
      </c>
      <c r="G6" s="26">
        <v>2197.4</v>
      </c>
      <c r="H6" s="43">
        <f t="shared" si="1"/>
        <v>37863.399399999988</v>
      </c>
      <c r="I6" s="44">
        <f t="shared" si="3"/>
        <v>1812.9525538461569</v>
      </c>
      <c r="J6" s="44">
        <v>7000</v>
      </c>
      <c r="K6" s="44">
        <f t="shared" si="2"/>
        <v>46676.351953846148</v>
      </c>
    </row>
    <row r="7" spans="1:17" ht="51" customHeight="1" x14ac:dyDescent="0.3">
      <c r="A7" s="5">
        <v>11</v>
      </c>
      <c r="B7" s="6" t="s">
        <v>6</v>
      </c>
      <c r="C7" s="14">
        <v>104750</v>
      </c>
      <c r="D7" s="26">
        <v>114.56100000000001</v>
      </c>
      <c r="E7" s="26">
        <v>139.041</v>
      </c>
      <c r="F7" s="26">
        <f t="shared" si="0"/>
        <v>24.47999999999999</v>
      </c>
      <c r="G7" s="26">
        <v>2197.4</v>
      </c>
      <c r="H7" s="43">
        <f t="shared" si="1"/>
        <v>53792.351999999977</v>
      </c>
      <c r="I7" s="44">
        <f t="shared" si="3"/>
        <v>1812.9525538461569</v>
      </c>
      <c r="J7" s="44">
        <v>7000</v>
      </c>
      <c r="K7" s="44">
        <f t="shared" si="2"/>
        <v>62605.304553846137</v>
      </c>
    </row>
    <row r="8" spans="1:17" ht="51" customHeight="1" x14ac:dyDescent="0.3">
      <c r="A8" s="5">
        <v>12</v>
      </c>
      <c r="B8" s="6" t="s">
        <v>7</v>
      </c>
      <c r="C8" s="14">
        <v>104761</v>
      </c>
      <c r="D8" s="26">
        <v>3.9750000000000001</v>
      </c>
      <c r="E8" s="26">
        <v>5.37</v>
      </c>
      <c r="F8" s="26">
        <f t="shared" si="0"/>
        <v>1.395</v>
      </c>
      <c r="G8" s="26">
        <v>2197.4</v>
      </c>
      <c r="H8" s="43">
        <f t="shared" si="1"/>
        <v>3065.373</v>
      </c>
      <c r="I8" s="44">
        <f t="shared" si="3"/>
        <v>1812.9525538461569</v>
      </c>
      <c r="J8" s="44">
        <v>7000</v>
      </c>
      <c r="K8" s="44">
        <f t="shared" si="2"/>
        <v>11878.325553846156</v>
      </c>
    </row>
    <row r="9" spans="1:17" ht="51" customHeight="1" x14ac:dyDescent="0.3">
      <c r="A9" s="5">
        <v>13</v>
      </c>
      <c r="B9" s="6" t="s">
        <v>8</v>
      </c>
      <c r="C9" s="14">
        <v>106226</v>
      </c>
      <c r="D9" s="26">
        <v>32.47</v>
      </c>
      <c r="E9" s="26">
        <v>39.436999999999998</v>
      </c>
      <c r="F9" s="26">
        <f t="shared" si="0"/>
        <v>6.9669999999999987</v>
      </c>
      <c r="G9" s="26">
        <v>2197.4</v>
      </c>
      <c r="H9" s="43">
        <f t="shared" si="1"/>
        <v>15309.285799999998</v>
      </c>
      <c r="I9" s="44">
        <f t="shared" si="3"/>
        <v>1812.9525538461569</v>
      </c>
      <c r="J9" s="44">
        <v>7000</v>
      </c>
      <c r="K9" s="44">
        <f>H9+I9+J9-360</f>
        <v>23762.238353846154</v>
      </c>
    </row>
    <row r="10" spans="1:17" ht="51" customHeight="1" x14ac:dyDescent="0.3">
      <c r="A10" s="5">
        <v>14</v>
      </c>
      <c r="B10" s="6" t="s">
        <v>9</v>
      </c>
      <c r="C10" s="14">
        <v>104746</v>
      </c>
      <c r="D10" s="26">
        <v>46.597999999999999</v>
      </c>
      <c r="E10" s="26">
        <v>54.406999999999996</v>
      </c>
      <c r="F10" s="26">
        <f t="shared" si="0"/>
        <v>7.8089999999999975</v>
      </c>
      <c r="G10" s="26">
        <v>2197.4</v>
      </c>
      <c r="H10" s="43">
        <f t="shared" si="1"/>
        <v>17159.496599999995</v>
      </c>
      <c r="I10" s="44">
        <f t="shared" si="3"/>
        <v>1812.9525538461569</v>
      </c>
      <c r="J10" s="44">
        <v>7000</v>
      </c>
      <c r="K10" s="44">
        <f>H10+I10+J10+245</f>
        <v>26217.449153846152</v>
      </c>
    </row>
    <row r="11" spans="1:17" ht="51" customHeight="1" x14ac:dyDescent="0.3">
      <c r="A11" s="5">
        <v>15</v>
      </c>
      <c r="B11" s="6" t="s">
        <v>10</v>
      </c>
      <c r="C11" s="14">
        <v>104744</v>
      </c>
      <c r="D11" s="26">
        <v>27.071999999999999</v>
      </c>
      <c r="E11" s="26">
        <v>35.234999999999999</v>
      </c>
      <c r="F11" s="26">
        <f t="shared" si="0"/>
        <v>8.1630000000000003</v>
      </c>
      <c r="G11" s="26">
        <v>2197.4</v>
      </c>
      <c r="H11" s="43">
        <f t="shared" si="1"/>
        <v>17937.376200000002</v>
      </c>
      <c r="I11" s="44">
        <f t="shared" si="3"/>
        <v>1812.9525538461569</v>
      </c>
      <c r="J11" s="44">
        <v>7000</v>
      </c>
      <c r="K11" s="44">
        <f t="shared" ref="K11:K44" si="4">H11+I11+J11</f>
        <v>26750.328753846159</v>
      </c>
      <c r="Q11" s="50"/>
    </row>
    <row r="12" spans="1:17" ht="51" customHeight="1" x14ac:dyDescent="0.3">
      <c r="A12" s="5">
        <v>16</v>
      </c>
      <c r="B12" s="6" t="s">
        <v>11</v>
      </c>
      <c r="C12" s="14">
        <v>104747</v>
      </c>
      <c r="D12" s="26">
        <v>86.147999999999996</v>
      </c>
      <c r="E12" s="26">
        <v>97.051000000000002</v>
      </c>
      <c r="F12" s="26">
        <f t="shared" si="0"/>
        <v>10.903000000000006</v>
      </c>
      <c r="G12" s="26">
        <v>2197.4</v>
      </c>
      <c r="H12" s="43">
        <f t="shared" si="1"/>
        <v>23958.252200000014</v>
      </c>
      <c r="I12" s="44">
        <f t="shared" si="3"/>
        <v>1812.9525538461569</v>
      </c>
      <c r="J12" s="44">
        <v>7000</v>
      </c>
      <c r="K12" s="44">
        <f t="shared" si="4"/>
        <v>32771.20475384617</v>
      </c>
    </row>
    <row r="13" spans="1:17" ht="51" customHeight="1" x14ac:dyDescent="0.3">
      <c r="A13" s="5">
        <v>17</v>
      </c>
      <c r="B13" s="6" t="s">
        <v>12</v>
      </c>
      <c r="C13" s="14">
        <v>104748</v>
      </c>
      <c r="D13" s="26">
        <v>13.272</v>
      </c>
      <c r="E13" s="26">
        <v>15.638999999999999</v>
      </c>
      <c r="F13" s="26">
        <f t="shared" si="0"/>
        <v>2.3669999999999991</v>
      </c>
      <c r="G13" s="26">
        <v>2197.4</v>
      </c>
      <c r="H13" s="43">
        <f t="shared" si="1"/>
        <v>5201.2457999999979</v>
      </c>
      <c r="I13" s="44">
        <f t="shared" si="3"/>
        <v>1812.9525538461569</v>
      </c>
      <c r="J13" s="44">
        <v>7000</v>
      </c>
      <c r="K13" s="44">
        <f t="shared" si="4"/>
        <v>14014.198353846154</v>
      </c>
    </row>
    <row r="14" spans="1:17" ht="51" customHeight="1" x14ac:dyDescent="0.3">
      <c r="A14" s="5">
        <v>18</v>
      </c>
      <c r="B14" s="6" t="s">
        <v>51</v>
      </c>
      <c r="C14" s="14">
        <v>104770</v>
      </c>
      <c r="D14" s="26">
        <v>33.877000000000002</v>
      </c>
      <c r="E14" s="26">
        <v>40.585999999999999</v>
      </c>
      <c r="F14" s="26">
        <f t="shared" si="0"/>
        <v>6.7089999999999961</v>
      </c>
      <c r="G14" s="26">
        <v>2197.4</v>
      </c>
      <c r="H14" s="43">
        <f t="shared" si="1"/>
        <v>14742.356599999992</v>
      </c>
      <c r="I14" s="44">
        <f t="shared" si="3"/>
        <v>1812.9525538461569</v>
      </c>
      <c r="J14" s="44">
        <v>7000</v>
      </c>
      <c r="K14" s="44">
        <f t="shared" si="4"/>
        <v>23555.309153846149</v>
      </c>
    </row>
    <row r="15" spans="1:17" ht="51" customHeight="1" x14ac:dyDescent="0.3">
      <c r="A15" s="5">
        <v>19</v>
      </c>
      <c r="B15" s="6" t="s">
        <v>13</v>
      </c>
      <c r="C15" s="14">
        <v>104741</v>
      </c>
      <c r="D15" s="26">
        <v>7.319</v>
      </c>
      <c r="E15" s="26">
        <v>10.981</v>
      </c>
      <c r="F15" s="26">
        <f t="shared" si="0"/>
        <v>3.6619999999999999</v>
      </c>
      <c r="G15" s="26">
        <v>2197.4</v>
      </c>
      <c r="H15" s="43">
        <f t="shared" si="1"/>
        <v>8046.8788000000004</v>
      </c>
      <c r="I15" s="44">
        <f t="shared" si="3"/>
        <v>1812.9525538461569</v>
      </c>
      <c r="J15" s="44">
        <v>7000</v>
      </c>
      <c r="K15" s="44">
        <f t="shared" si="4"/>
        <v>16859.831353846159</v>
      </c>
    </row>
    <row r="16" spans="1:17" ht="51" customHeight="1" x14ac:dyDescent="0.3">
      <c r="A16" s="5">
        <v>20</v>
      </c>
      <c r="B16" s="6" t="s">
        <v>14</v>
      </c>
      <c r="C16" s="14">
        <v>106223</v>
      </c>
      <c r="D16" s="26">
        <v>25.231000000000002</v>
      </c>
      <c r="E16" s="26">
        <v>29.469000000000001</v>
      </c>
      <c r="F16" s="26">
        <f t="shared" si="0"/>
        <v>4.2379999999999995</v>
      </c>
      <c r="G16" s="26">
        <v>2197.4</v>
      </c>
      <c r="H16" s="43">
        <f t="shared" si="1"/>
        <v>9312.5811999999987</v>
      </c>
      <c r="I16" s="44">
        <f t="shared" si="3"/>
        <v>1812.9525538461569</v>
      </c>
      <c r="J16" s="44">
        <v>7000</v>
      </c>
      <c r="K16" s="44">
        <f t="shared" si="4"/>
        <v>18125.533753846154</v>
      </c>
    </row>
    <row r="17" spans="1:12" ht="51" customHeight="1" x14ac:dyDescent="0.3">
      <c r="A17" s="5">
        <v>21</v>
      </c>
      <c r="B17" s="6" t="s">
        <v>15</v>
      </c>
      <c r="C17" s="14">
        <v>106230</v>
      </c>
      <c r="D17" s="26">
        <v>11.8</v>
      </c>
      <c r="E17" s="26">
        <v>11.8</v>
      </c>
      <c r="F17" s="26">
        <f t="shared" si="0"/>
        <v>0</v>
      </c>
      <c r="G17" s="26">
        <v>2197.4</v>
      </c>
      <c r="H17" s="43">
        <f t="shared" si="1"/>
        <v>0</v>
      </c>
      <c r="I17" s="44">
        <f t="shared" si="3"/>
        <v>1812.9525538461569</v>
      </c>
      <c r="J17" s="44">
        <v>7000</v>
      </c>
      <c r="K17" s="44">
        <f t="shared" si="4"/>
        <v>8812.9525538461567</v>
      </c>
    </row>
    <row r="18" spans="1:12" ht="51" customHeight="1" x14ac:dyDescent="0.3">
      <c r="A18" s="5">
        <v>22</v>
      </c>
      <c r="B18" s="6" t="s">
        <v>16</v>
      </c>
      <c r="C18" s="14">
        <v>106136</v>
      </c>
      <c r="D18" s="26">
        <v>8.5020000000000007</v>
      </c>
      <c r="E18" s="26">
        <v>11.693</v>
      </c>
      <c r="F18" s="26">
        <f t="shared" si="0"/>
        <v>3.1909999999999989</v>
      </c>
      <c r="G18" s="26">
        <v>2197.4</v>
      </c>
      <c r="H18" s="43">
        <f t="shared" si="1"/>
        <v>7011.9033999999983</v>
      </c>
      <c r="I18" s="44">
        <f t="shared" si="3"/>
        <v>1812.9525538461569</v>
      </c>
      <c r="J18" s="44">
        <v>7000</v>
      </c>
      <c r="K18" s="44">
        <f t="shared" si="4"/>
        <v>15824.855953846156</v>
      </c>
    </row>
    <row r="19" spans="1:12" ht="51" customHeight="1" x14ac:dyDescent="0.3">
      <c r="A19" s="5">
        <v>23</v>
      </c>
      <c r="B19" s="6" t="s">
        <v>17</v>
      </c>
      <c r="C19" s="14">
        <v>106225</v>
      </c>
      <c r="D19" s="26">
        <v>1.3220000000000001</v>
      </c>
      <c r="E19" s="26">
        <v>1.333</v>
      </c>
      <c r="F19" s="26">
        <f t="shared" si="0"/>
        <v>1.0999999999999899E-2</v>
      </c>
      <c r="G19" s="26">
        <v>2197.4</v>
      </c>
      <c r="H19" s="43">
        <f t="shared" si="1"/>
        <v>24.171399999999778</v>
      </c>
      <c r="I19" s="44">
        <f t="shared" si="3"/>
        <v>1812.9525538461569</v>
      </c>
      <c r="J19" s="44">
        <v>7000</v>
      </c>
      <c r="K19" s="44">
        <f t="shared" si="4"/>
        <v>8837.1239538461559</v>
      </c>
    </row>
    <row r="20" spans="1:12" ht="51" customHeight="1" x14ac:dyDescent="0.3">
      <c r="A20" s="5">
        <v>25</v>
      </c>
      <c r="B20" s="6" t="s">
        <v>18</v>
      </c>
      <c r="C20" s="14">
        <v>104745</v>
      </c>
      <c r="D20" s="26">
        <v>63.957000000000001</v>
      </c>
      <c r="E20" s="26">
        <v>81.992999999999995</v>
      </c>
      <c r="F20" s="26">
        <f t="shared" si="0"/>
        <v>18.035999999999994</v>
      </c>
      <c r="G20" s="26">
        <v>2197.4</v>
      </c>
      <c r="H20" s="43">
        <f t="shared" si="1"/>
        <v>39632.306399999987</v>
      </c>
      <c r="I20" s="44">
        <f t="shared" si="3"/>
        <v>1812.9525538461569</v>
      </c>
      <c r="J20" s="44">
        <v>7000</v>
      </c>
      <c r="K20" s="44">
        <f t="shared" si="4"/>
        <v>48445.258953846147</v>
      </c>
    </row>
    <row r="21" spans="1:12" ht="51" customHeight="1" x14ac:dyDescent="0.3">
      <c r="A21" s="5">
        <v>26</v>
      </c>
      <c r="B21" s="6" t="s">
        <v>19</v>
      </c>
      <c r="C21" s="14">
        <v>104743</v>
      </c>
      <c r="D21" s="26">
        <v>84.747</v>
      </c>
      <c r="E21" s="26">
        <v>92.465000000000003</v>
      </c>
      <c r="F21" s="26">
        <f t="shared" si="0"/>
        <v>7.7180000000000035</v>
      </c>
      <c r="G21" s="26">
        <v>2197.4</v>
      </c>
      <c r="H21" s="43">
        <f t="shared" si="1"/>
        <v>16959.533200000009</v>
      </c>
      <c r="I21" s="44">
        <f t="shared" si="3"/>
        <v>1812.9525538461569</v>
      </c>
      <c r="J21" s="44">
        <v>7000</v>
      </c>
      <c r="K21" s="44">
        <f t="shared" si="4"/>
        <v>25772.485753846166</v>
      </c>
    </row>
    <row r="22" spans="1:12" ht="51" customHeight="1" x14ac:dyDescent="0.3">
      <c r="A22" s="5">
        <v>27</v>
      </c>
      <c r="B22" s="6" t="s">
        <v>20</v>
      </c>
      <c r="C22" s="14">
        <v>104749</v>
      </c>
      <c r="D22" s="26">
        <v>30.704999999999998</v>
      </c>
      <c r="E22" s="26">
        <v>37.973999999999997</v>
      </c>
      <c r="F22" s="26">
        <f t="shared" si="0"/>
        <v>7.2689999999999984</v>
      </c>
      <c r="G22" s="26">
        <v>2197.4</v>
      </c>
      <c r="H22" s="43">
        <f t="shared" si="1"/>
        <v>15972.900599999997</v>
      </c>
      <c r="I22" s="44">
        <f t="shared" si="3"/>
        <v>1812.9525538461569</v>
      </c>
      <c r="J22" s="44">
        <v>7000</v>
      </c>
      <c r="K22" s="44">
        <f t="shared" si="4"/>
        <v>24785.853153846154</v>
      </c>
    </row>
    <row r="23" spans="1:12" s="21" customFormat="1" ht="51" customHeight="1" x14ac:dyDescent="0.3">
      <c r="A23" s="5">
        <v>28</v>
      </c>
      <c r="B23" s="6" t="s">
        <v>21</v>
      </c>
      <c r="C23" s="14">
        <v>104742</v>
      </c>
      <c r="D23" s="26">
        <v>7.4480000000000004</v>
      </c>
      <c r="E23" s="26">
        <v>8.2590000000000003</v>
      </c>
      <c r="F23" s="26">
        <f t="shared" si="0"/>
        <v>0.81099999999999994</v>
      </c>
      <c r="G23" s="26">
        <v>2197.4</v>
      </c>
      <c r="H23" s="43">
        <f t="shared" si="1"/>
        <v>1782.0914</v>
      </c>
      <c r="I23" s="44">
        <f t="shared" si="3"/>
        <v>1812.9525538461569</v>
      </c>
      <c r="J23" s="44">
        <v>7000</v>
      </c>
      <c r="K23" s="44">
        <f t="shared" si="4"/>
        <v>10595.043953846158</v>
      </c>
      <c r="L23" s="48"/>
    </row>
    <row r="24" spans="1:12" s="21" customFormat="1" ht="51" customHeight="1" x14ac:dyDescent="0.3">
      <c r="A24" s="5">
        <v>73</v>
      </c>
      <c r="B24" s="6" t="s">
        <v>33</v>
      </c>
      <c r="C24" s="14">
        <v>106221</v>
      </c>
      <c r="D24" s="26">
        <v>29.791</v>
      </c>
      <c r="E24" s="26">
        <v>35.64</v>
      </c>
      <c r="F24" s="26">
        <f t="shared" si="0"/>
        <v>5.8490000000000002</v>
      </c>
      <c r="G24" s="26">
        <v>2197.4</v>
      </c>
      <c r="H24" s="43">
        <f t="shared" si="1"/>
        <v>12852.592600000002</v>
      </c>
      <c r="I24" s="44">
        <f t="shared" si="3"/>
        <v>1812.9525538461569</v>
      </c>
      <c r="J24" s="44">
        <v>7000</v>
      </c>
      <c r="K24" s="44">
        <f t="shared" si="4"/>
        <v>21665.545153846157</v>
      </c>
      <c r="L24" s="48"/>
    </row>
    <row r="25" spans="1:12" s="21" customFormat="1" ht="51" customHeight="1" x14ac:dyDescent="0.3">
      <c r="A25" s="5">
        <v>74</v>
      </c>
      <c r="B25" s="30" t="s">
        <v>90</v>
      </c>
      <c r="C25" s="14">
        <v>106229</v>
      </c>
      <c r="D25" s="26">
        <v>19.742999999999999</v>
      </c>
      <c r="E25" s="26">
        <v>24.54</v>
      </c>
      <c r="F25" s="26">
        <f t="shared" si="0"/>
        <v>4.7970000000000006</v>
      </c>
      <c r="G25" s="26">
        <v>2197.4</v>
      </c>
      <c r="H25" s="43">
        <f t="shared" si="1"/>
        <v>10540.927800000001</v>
      </c>
      <c r="I25" s="44">
        <f t="shared" si="3"/>
        <v>1812.9525538461569</v>
      </c>
      <c r="J25" s="44">
        <v>7000</v>
      </c>
      <c r="K25" s="44">
        <f t="shared" si="4"/>
        <v>19353.880353846158</v>
      </c>
      <c r="L25" s="48"/>
    </row>
    <row r="26" spans="1:12" s="21" customFormat="1" ht="51" customHeight="1" x14ac:dyDescent="0.3">
      <c r="A26" s="5">
        <v>75</v>
      </c>
      <c r="B26" s="6" t="s">
        <v>34</v>
      </c>
      <c r="C26" s="14">
        <v>106135</v>
      </c>
      <c r="D26" s="26">
        <v>0.159</v>
      </c>
      <c r="E26" s="26">
        <v>0.159</v>
      </c>
      <c r="F26" s="26">
        <f t="shared" si="0"/>
        <v>0</v>
      </c>
      <c r="G26" s="26">
        <v>2197.4</v>
      </c>
      <c r="H26" s="43">
        <f t="shared" si="1"/>
        <v>0</v>
      </c>
      <c r="I26" s="44">
        <v>0</v>
      </c>
      <c r="J26" s="44"/>
      <c r="K26" s="44">
        <f t="shared" si="4"/>
        <v>0</v>
      </c>
      <c r="L26" s="48"/>
    </row>
    <row r="27" spans="1:12" s="21" customFormat="1" ht="51" customHeight="1" x14ac:dyDescent="0.3">
      <c r="A27" s="5">
        <v>76</v>
      </c>
      <c r="B27" s="6" t="s">
        <v>91</v>
      </c>
      <c r="C27" s="14">
        <v>106137</v>
      </c>
      <c r="D27" s="26">
        <v>9.5129999999999999</v>
      </c>
      <c r="E27" s="26">
        <v>9.7780000000000005</v>
      </c>
      <c r="F27" s="26">
        <f t="shared" si="0"/>
        <v>0.26500000000000057</v>
      </c>
      <c r="G27" s="26">
        <v>2197.4</v>
      </c>
      <c r="H27" s="43">
        <f t="shared" si="1"/>
        <v>582.31100000000129</v>
      </c>
      <c r="I27" s="44">
        <f t="shared" si="3"/>
        <v>1812.9525538461569</v>
      </c>
      <c r="J27" s="44">
        <v>7000</v>
      </c>
      <c r="K27" s="44">
        <f t="shared" si="4"/>
        <v>9395.2635538461582</v>
      </c>
      <c r="L27" s="48"/>
    </row>
    <row r="28" spans="1:12" s="21" customFormat="1" ht="51" customHeight="1" x14ac:dyDescent="0.3">
      <c r="A28" s="5">
        <v>77</v>
      </c>
      <c r="B28" s="30" t="s">
        <v>92</v>
      </c>
      <c r="C28" s="14">
        <v>106140</v>
      </c>
      <c r="D28" s="26">
        <v>30.501999999999999</v>
      </c>
      <c r="E28" s="26">
        <v>37.598999999999997</v>
      </c>
      <c r="F28" s="26">
        <f t="shared" si="0"/>
        <v>7.0969999999999978</v>
      </c>
      <c r="G28" s="26">
        <v>2197.4</v>
      </c>
      <c r="H28" s="43">
        <f t="shared" si="1"/>
        <v>15594.947799999996</v>
      </c>
      <c r="I28" s="44">
        <f t="shared" si="3"/>
        <v>1812.9525538461569</v>
      </c>
      <c r="J28" s="44">
        <v>7000</v>
      </c>
      <c r="K28" s="44">
        <f t="shared" si="4"/>
        <v>24407.900353846155</v>
      </c>
      <c r="L28" s="48"/>
    </row>
    <row r="29" spans="1:12" s="21" customFormat="1" ht="51" customHeight="1" x14ac:dyDescent="0.3">
      <c r="A29" s="5">
        <v>78</v>
      </c>
      <c r="B29" s="6" t="s">
        <v>93</v>
      </c>
      <c r="C29" s="14">
        <v>106228</v>
      </c>
      <c r="D29" s="26">
        <v>23.805</v>
      </c>
      <c r="E29" s="26">
        <v>27.861000000000001</v>
      </c>
      <c r="F29" s="26">
        <f t="shared" si="0"/>
        <v>4.0560000000000009</v>
      </c>
      <c r="G29" s="26">
        <v>2197.4</v>
      </c>
      <c r="H29" s="43">
        <f t="shared" si="1"/>
        <v>8912.6544000000031</v>
      </c>
      <c r="I29" s="44">
        <f t="shared" si="3"/>
        <v>1812.9525538461569</v>
      </c>
      <c r="J29" s="44">
        <v>7000</v>
      </c>
      <c r="K29" s="44">
        <f t="shared" si="4"/>
        <v>17725.60695384616</v>
      </c>
      <c r="L29" s="48"/>
    </row>
    <row r="30" spans="1:12" s="21" customFormat="1" ht="51" customHeight="1" x14ac:dyDescent="0.3">
      <c r="A30" s="5">
        <v>79</v>
      </c>
      <c r="B30" s="30" t="s">
        <v>36</v>
      </c>
      <c r="C30" s="14">
        <v>106139</v>
      </c>
      <c r="D30" s="26">
        <v>30.321000000000002</v>
      </c>
      <c r="E30" s="26">
        <v>36.795999999999999</v>
      </c>
      <c r="F30" s="26">
        <f t="shared" si="0"/>
        <v>6.4749999999999979</v>
      </c>
      <c r="G30" s="26">
        <v>2197.4</v>
      </c>
      <c r="H30" s="43">
        <f t="shared" si="1"/>
        <v>14228.164999999995</v>
      </c>
      <c r="I30" s="44">
        <f t="shared" si="3"/>
        <v>1812.9525538461569</v>
      </c>
      <c r="J30" s="44">
        <v>7000</v>
      </c>
      <c r="K30" s="44">
        <f t="shared" si="4"/>
        <v>23041.117553846154</v>
      </c>
      <c r="L30" s="48"/>
    </row>
    <row r="31" spans="1:12" s="21" customFormat="1" ht="51" customHeight="1" x14ac:dyDescent="0.3">
      <c r="A31" s="5">
        <v>80</v>
      </c>
      <c r="B31" s="6" t="s">
        <v>88</v>
      </c>
      <c r="C31" s="14">
        <v>106227</v>
      </c>
      <c r="D31" s="26">
        <v>33.237000000000002</v>
      </c>
      <c r="E31" s="26">
        <v>42.436999999999998</v>
      </c>
      <c r="F31" s="26">
        <f t="shared" si="0"/>
        <v>9.1999999999999957</v>
      </c>
      <c r="G31" s="26">
        <v>2197.4</v>
      </c>
      <c r="H31" s="43">
        <f t="shared" si="1"/>
        <v>20216.079999999991</v>
      </c>
      <c r="I31" s="44">
        <f t="shared" si="3"/>
        <v>1812.9525538461569</v>
      </c>
      <c r="J31" s="44">
        <v>7000</v>
      </c>
      <c r="K31" s="44">
        <f t="shared" si="4"/>
        <v>29029.032553846147</v>
      </c>
      <c r="L31" s="48"/>
    </row>
    <row r="32" spans="1:12" s="21" customFormat="1" ht="51" customHeight="1" x14ac:dyDescent="0.3">
      <c r="A32" s="5">
        <v>81</v>
      </c>
      <c r="B32" s="6" t="s">
        <v>35</v>
      </c>
      <c r="C32" s="14">
        <v>106131</v>
      </c>
      <c r="D32" s="26">
        <v>53.5</v>
      </c>
      <c r="E32" s="26">
        <v>65.867000000000004</v>
      </c>
      <c r="F32" s="26">
        <f t="shared" si="0"/>
        <v>12.367000000000004</v>
      </c>
      <c r="G32" s="26">
        <v>2197.4</v>
      </c>
      <c r="H32" s="43">
        <f t="shared" si="1"/>
        <v>27175.245800000012</v>
      </c>
      <c r="I32" s="44">
        <f t="shared" si="3"/>
        <v>1812.9525538461569</v>
      </c>
      <c r="J32" s="44">
        <v>7000</v>
      </c>
      <c r="K32" s="44">
        <f t="shared" si="4"/>
        <v>35988.198353846165</v>
      </c>
      <c r="L32" s="48"/>
    </row>
    <row r="33" spans="1:12" s="21" customFormat="1" ht="51" customHeight="1" x14ac:dyDescent="0.3">
      <c r="A33" s="5">
        <v>82</v>
      </c>
      <c r="B33" s="6" t="s">
        <v>89</v>
      </c>
      <c r="C33" s="14">
        <v>106138</v>
      </c>
      <c r="D33" s="26">
        <v>9.2119999999999997</v>
      </c>
      <c r="E33" s="26">
        <v>11.129</v>
      </c>
      <c r="F33" s="26">
        <f t="shared" si="0"/>
        <v>1.9169999999999998</v>
      </c>
      <c r="G33" s="26">
        <v>2197.4</v>
      </c>
      <c r="H33" s="43">
        <f t="shared" si="1"/>
        <v>4212.4157999999998</v>
      </c>
      <c r="I33" s="44">
        <f t="shared" si="3"/>
        <v>1812.9525538461569</v>
      </c>
      <c r="J33" s="44">
        <v>7000</v>
      </c>
      <c r="K33" s="44">
        <f t="shared" si="4"/>
        <v>13025.368353846156</v>
      </c>
      <c r="L33" s="48"/>
    </row>
    <row r="34" spans="1:12" s="21" customFormat="1" ht="51" customHeight="1" x14ac:dyDescent="0.3">
      <c r="A34" s="5">
        <v>83</v>
      </c>
      <c r="B34" s="20" t="s">
        <v>22</v>
      </c>
      <c r="C34" s="45">
        <v>106222</v>
      </c>
      <c r="D34" s="5">
        <v>20.696000000000002</v>
      </c>
      <c r="E34" s="5">
        <v>24.010999999999999</v>
      </c>
      <c r="F34" s="5">
        <f t="shared" si="0"/>
        <v>3.3149999999999977</v>
      </c>
      <c r="G34" s="5">
        <v>2197.4</v>
      </c>
      <c r="H34" s="47">
        <f t="shared" si="1"/>
        <v>7284.3809999999949</v>
      </c>
      <c r="I34" s="44">
        <f t="shared" si="3"/>
        <v>1812.9525538461569</v>
      </c>
      <c r="J34" s="46">
        <v>7000</v>
      </c>
      <c r="K34" s="46">
        <f t="shared" si="4"/>
        <v>16097.333553846152</v>
      </c>
      <c r="L34" s="48"/>
    </row>
    <row r="35" spans="1:12" s="21" customFormat="1" ht="51" customHeight="1" x14ac:dyDescent="0.3">
      <c r="A35" s="5">
        <v>84</v>
      </c>
      <c r="B35" s="6" t="s">
        <v>28</v>
      </c>
      <c r="C35" s="14">
        <v>106123</v>
      </c>
      <c r="D35" s="26">
        <v>18.515000000000001</v>
      </c>
      <c r="E35" s="26">
        <v>19.786999999999999</v>
      </c>
      <c r="F35" s="26">
        <f t="shared" si="0"/>
        <v>1.2719999999999985</v>
      </c>
      <c r="G35" s="26">
        <v>2197.4</v>
      </c>
      <c r="H35" s="43">
        <f t="shared" si="1"/>
        <v>2795.0927999999967</v>
      </c>
      <c r="I35" s="44">
        <f t="shared" si="3"/>
        <v>1812.9525538461569</v>
      </c>
      <c r="J35" s="44">
        <v>7000</v>
      </c>
      <c r="K35" s="44">
        <f t="shared" si="4"/>
        <v>11608.045353846153</v>
      </c>
      <c r="L35" s="48"/>
    </row>
    <row r="36" spans="1:12" ht="51" customHeight="1" x14ac:dyDescent="0.3">
      <c r="A36" s="5">
        <v>85</v>
      </c>
      <c r="B36" s="6" t="s">
        <v>27</v>
      </c>
      <c r="C36" s="14">
        <v>106134</v>
      </c>
      <c r="D36" s="26">
        <v>71.814999999999998</v>
      </c>
      <c r="E36" s="26">
        <v>87.429000000000002</v>
      </c>
      <c r="F36" s="26">
        <f t="shared" si="0"/>
        <v>15.614000000000004</v>
      </c>
      <c r="G36" s="26">
        <v>2197.4</v>
      </c>
      <c r="H36" s="43">
        <f t="shared" si="1"/>
        <v>34310.203600000008</v>
      </c>
      <c r="I36" s="44">
        <f t="shared" si="3"/>
        <v>1812.9525538461569</v>
      </c>
      <c r="J36" s="44">
        <v>7000</v>
      </c>
      <c r="K36" s="44">
        <f t="shared" si="4"/>
        <v>43123.156153846168</v>
      </c>
      <c r="L36" s="48"/>
    </row>
    <row r="37" spans="1:12" ht="51" customHeight="1" x14ac:dyDescent="0.3">
      <c r="A37" s="5">
        <v>86</v>
      </c>
      <c r="B37" s="6" t="s">
        <v>26</v>
      </c>
      <c r="C37" s="14">
        <v>106125</v>
      </c>
      <c r="D37" s="26">
        <v>32.555</v>
      </c>
      <c r="E37" s="26">
        <v>40.07</v>
      </c>
      <c r="F37" s="26">
        <f t="shared" si="0"/>
        <v>7.5150000000000006</v>
      </c>
      <c r="G37" s="26">
        <v>2197.4</v>
      </c>
      <c r="H37" s="43">
        <f t="shared" si="1"/>
        <v>16513.461000000003</v>
      </c>
      <c r="I37" s="44">
        <f t="shared" si="3"/>
        <v>1812.9525538461569</v>
      </c>
      <c r="J37" s="44">
        <v>7000</v>
      </c>
      <c r="K37" s="44">
        <f t="shared" si="4"/>
        <v>25326.41355384616</v>
      </c>
    </row>
    <row r="38" spans="1:12" ht="51" customHeight="1" x14ac:dyDescent="0.3">
      <c r="A38" s="5">
        <v>87</v>
      </c>
      <c r="B38" s="6" t="s">
        <v>25</v>
      </c>
      <c r="C38" s="14">
        <v>106133</v>
      </c>
      <c r="D38" s="26">
        <v>27.887</v>
      </c>
      <c r="E38" s="26">
        <v>32.951000000000001</v>
      </c>
      <c r="F38" s="26">
        <f t="shared" si="0"/>
        <v>5.0640000000000001</v>
      </c>
      <c r="G38" s="26">
        <v>2197.4</v>
      </c>
      <c r="H38" s="43">
        <f t="shared" si="1"/>
        <v>11127.633600000001</v>
      </c>
      <c r="I38" s="44">
        <f t="shared" si="3"/>
        <v>1812.9525538461569</v>
      </c>
      <c r="J38" s="44">
        <v>7000</v>
      </c>
      <c r="K38" s="44">
        <f t="shared" si="4"/>
        <v>19940.586153846158</v>
      </c>
      <c r="L38" s="48"/>
    </row>
    <row r="39" spans="1:12" ht="51" customHeight="1" x14ac:dyDescent="0.3">
      <c r="A39" s="5">
        <v>88</v>
      </c>
      <c r="B39" s="6" t="s">
        <v>39</v>
      </c>
      <c r="C39" s="14">
        <v>106127</v>
      </c>
      <c r="D39" s="26">
        <v>47.441000000000003</v>
      </c>
      <c r="E39" s="26">
        <v>56.959000000000003</v>
      </c>
      <c r="F39" s="26">
        <f t="shared" si="0"/>
        <v>9.5180000000000007</v>
      </c>
      <c r="G39" s="26">
        <v>2197.4</v>
      </c>
      <c r="H39" s="43">
        <f t="shared" si="1"/>
        <v>20914.853200000001</v>
      </c>
      <c r="I39" s="44">
        <f t="shared" si="3"/>
        <v>1812.9525538461569</v>
      </c>
      <c r="J39" s="44">
        <v>7000</v>
      </c>
      <c r="K39" s="44">
        <f t="shared" si="4"/>
        <v>29727.805753846158</v>
      </c>
    </row>
    <row r="40" spans="1:12" ht="51" customHeight="1" x14ac:dyDescent="0.3">
      <c r="A40" s="5">
        <v>89</v>
      </c>
      <c r="B40" s="6" t="s">
        <v>24</v>
      </c>
      <c r="C40" s="14">
        <v>106128</v>
      </c>
      <c r="D40" s="26">
        <v>72.289000000000001</v>
      </c>
      <c r="E40" s="26">
        <v>89.685000000000002</v>
      </c>
      <c r="F40" s="26">
        <f t="shared" si="0"/>
        <v>17.396000000000001</v>
      </c>
      <c r="G40" s="26">
        <v>2197.4</v>
      </c>
      <c r="H40" s="43">
        <f t="shared" si="1"/>
        <v>38225.970400000006</v>
      </c>
      <c r="I40" s="44">
        <f t="shared" si="3"/>
        <v>1812.9525538461569</v>
      </c>
      <c r="J40" s="44">
        <v>7000</v>
      </c>
      <c r="K40" s="44">
        <f t="shared" si="4"/>
        <v>47038.922953846166</v>
      </c>
      <c r="L40" s="48"/>
    </row>
    <row r="41" spans="1:12" ht="51" customHeight="1" x14ac:dyDescent="0.3">
      <c r="A41" s="5">
        <v>90</v>
      </c>
      <c r="B41" s="6" t="s">
        <v>23</v>
      </c>
      <c r="C41" s="14">
        <v>106129</v>
      </c>
      <c r="D41" s="26">
        <v>14.103</v>
      </c>
      <c r="E41" s="26">
        <v>16.475000000000001</v>
      </c>
      <c r="F41" s="26">
        <f t="shared" si="0"/>
        <v>2.3720000000000017</v>
      </c>
      <c r="G41" s="26">
        <v>2197.4</v>
      </c>
      <c r="H41" s="43">
        <f t="shared" si="1"/>
        <v>5212.2328000000043</v>
      </c>
      <c r="I41" s="44">
        <f t="shared" si="3"/>
        <v>1812.9525538461569</v>
      </c>
      <c r="J41" s="44">
        <v>7000</v>
      </c>
      <c r="K41" s="44">
        <f t="shared" si="4"/>
        <v>14025.185353846162</v>
      </c>
      <c r="L41" s="48"/>
    </row>
    <row r="42" spans="1:12" ht="51" customHeight="1" x14ac:dyDescent="0.3">
      <c r="A42" s="5">
        <v>91</v>
      </c>
      <c r="B42" s="30" t="s">
        <v>45</v>
      </c>
      <c r="C42" s="14">
        <v>106130</v>
      </c>
      <c r="D42" s="26">
        <v>41.241999999999997</v>
      </c>
      <c r="E42" s="26">
        <v>49.063000000000002</v>
      </c>
      <c r="F42" s="26">
        <f t="shared" si="0"/>
        <v>7.8210000000000051</v>
      </c>
      <c r="G42" s="26">
        <v>2197.4</v>
      </c>
      <c r="H42" s="43">
        <f t="shared" si="1"/>
        <v>17185.865400000013</v>
      </c>
      <c r="I42" s="44">
        <f t="shared" si="3"/>
        <v>1812.9525538461569</v>
      </c>
      <c r="J42" s="44">
        <v>7000</v>
      </c>
      <c r="K42" s="44">
        <f t="shared" si="4"/>
        <v>25998.81795384617</v>
      </c>
      <c r="L42" s="48"/>
    </row>
    <row r="43" spans="1:12" ht="51" customHeight="1" x14ac:dyDescent="0.3">
      <c r="A43" s="5">
        <v>92</v>
      </c>
      <c r="B43" s="6" t="s">
        <v>29</v>
      </c>
      <c r="C43" s="14">
        <v>106121</v>
      </c>
      <c r="D43" s="26">
        <v>2.11</v>
      </c>
      <c r="E43" s="26">
        <v>2.11</v>
      </c>
      <c r="F43" s="26">
        <f t="shared" si="0"/>
        <v>0</v>
      </c>
      <c r="G43" s="26">
        <v>2197.4</v>
      </c>
      <c r="H43" s="43">
        <f t="shared" si="1"/>
        <v>0</v>
      </c>
      <c r="I43" s="44">
        <v>0</v>
      </c>
      <c r="J43" s="44">
        <v>0</v>
      </c>
      <c r="K43" s="44">
        <f t="shared" si="4"/>
        <v>0</v>
      </c>
    </row>
    <row r="44" spans="1:12" ht="51" customHeight="1" x14ac:dyDescent="0.3">
      <c r="A44" s="5">
        <v>92</v>
      </c>
      <c r="B44" s="6" t="s">
        <v>30</v>
      </c>
      <c r="C44" s="14">
        <v>105148</v>
      </c>
      <c r="D44" s="26">
        <v>11.534000000000001</v>
      </c>
      <c r="E44" s="26">
        <v>13.95</v>
      </c>
      <c r="F44" s="26">
        <f t="shared" si="0"/>
        <v>2.4159999999999986</v>
      </c>
      <c r="G44" s="26">
        <v>2197.4</v>
      </c>
      <c r="H44" s="43">
        <f t="shared" si="1"/>
        <v>5308.9183999999968</v>
      </c>
      <c r="I44" s="44">
        <v>0</v>
      </c>
      <c r="J44" s="44">
        <v>0</v>
      </c>
      <c r="K44" s="44">
        <f t="shared" si="4"/>
        <v>5308.9183999999968</v>
      </c>
    </row>
    <row r="45" spans="1:12" ht="51" customHeight="1" x14ac:dyDescent="0.3">
      <c r="A45" s="5"/>
      <c r="B45" s="30" t="s">
        <v>38</v>
      </c>
      <c r="C45" s="14"/>
      <c r="D45" s="26">
        <v>1487.1690000000001</v>
      </c>
      <c r="E45" s="26">
        <v>1802.462</v>
      </c>
      <c r="F45" s="26">
        <f t="shared" si="0"/>
        <v>315.29299999999989</v>
      </c>
      <c r="G45" s="26"/>
      <c r="H45" s="43"/>
      <c r="I45" s="44"/>
      <c r="J45" s="44"/>
      <c r="K45" s="44">
        <f>SUM(K2:K44)</f>
        <v>995267.95255384629</v>
      </c>
    </row>
    <row r="46" spans="1:12" ht="51" customHeight="1" x14ac:dyDescent="0.3">
      <c r="B46" s="29" t="s">
        <v>46</v>
      </c>
      <c r="C46" s="27">
        <v>1522</v>
      </c>
      <c r="F46" s="23">
        <f>SUM(F2:F44)</f>
        <v>293.596</v>
      </c>
      <c r="G46" s="21" t="s">
        <v>47</v>
      </c>
      <c r="H46" s="53">
        <f>SUM(H2:H44)</f>
        <v>645147.85039999988</v>
      </c>
      <c r="I46" s="49">
        <f>SUM(I2:I45)</f>
        <v>72518.102153846339</v>
      </c>
      <c r="J46" s="27">
        <f>SUM(J2:J42)</f>
        <v>277717</v>
      </c>
      <c r="K46" s="27"/>
    </row>
    <row r="47" spans="1:12" ht="51" customHeight="1" x14ac:dyDescent="0.3">
      <c r="B47" s="29" t="s">
        <v>97</v>
      </c>
      <c r="C47" s="27">
        <v>714331</v>
      </c>
      <c r="G47" s="21"/>
      <c r="H47" s="51"/>
      <c r="J47" s="27"/>
      <c r="K47" s="27"/>
    </row>
    <row r="48" spans="1:12" ht="51" customHeight="1" x14ac:dyDescent="0.3">
      <c r="B48" s="29" t="s">
        <v>52</v>
      </c>
      <c r="C48" s="51">
        <f>SUM(C46,C47)</f>
        <v>715853</v>
      </c>
      <c r="G48" s="22"/>
      <c r="H48" s="49"/>
      <c r="J48" s="27"/>
      <c r="K48" s="27"/>
    </row>
    <row r="49" spans="2:4" ht="51" customHeight="1" x14ac:dyDescent="0.3">
      <c r="B49" s="29" t="s">
        <v>48</v>
      </c>
      <c r="C49" s="52"/>
      <c r="D49" s="27">
        <f>C48-H46</f>
        <v>70705.149600000121</v>
      </c>
    </row>
    <row r="50" spans="2:4" ht="51" customHeight="1" x14ac:dyDescent="0.3">
      <c r="B50" s="29" t="s">
        <v>49</v>
      </c>
      <c r="C50" s="52"/>
      <c r="D50" s="49">
        <f>D49/39</f>
        <v>1812.9525538461569</v>
      </c>
    </row>
    <row r="51" spans="2:4" ht="51" customHeight="1" x14ac:dyDescent="0.3">
      <c r="C51" s="52"/>
    </row>
    <row r="52" spans="2:4" ht="51" customHeight="1" x14ac:dyDescent="0.3">
      <c r="C52" s="52"/>
    </row>
    <row r="53" spans="2:4" ht="51" customHeight="1" x14ac:dyDescent="0.3">
      <c r="C53" s="52"/>
    </row>
    <row r="54" spans="2:4" ht="51" customHeight="1" x14ac:dyDescent="0.3">
      <c r="C54" s="52"/>
    </row>
    <row r="55" spans="2:4" ht="51" customHeight="1" x14ac:dyDescent="0.3">
      <c r="C55" s="52"/>
    </row>
    <row r="56" spans="2:4" ht="51" customHeight="1" x14ac:dyDescent="0.3">
      <c r="C56" s="52"/>
    </row>
    <row r="57" spans="2:4" ht="51" customHeight="1" x14ac:dyDescent="0.3">
      <c r="C57" s="52"/>
    </row>
    <row r="58" spans="2:4" ht="51" customHeight="1" x14ac:dyDescent="0.3">
      <c r="C58" s="52"/>
    </row>
    <row r="59" spans="2:4" ht="51" customHeight="1" x14ac:dyDescent="0.3">
      <c r="C59" s="52"/>
    </row>
    <row r="60" spans="2:4" ht="51" customHeight="1" x14ac:dyDescent="0.3">
      <c r="C60" s="52"/>
    </row>
    <row r="61" spans="2:4" ht="51" customHeight="1" x14ac:dyDescent="0.3">
      <c r="C61" s="52"/>
    </row>
    <row r="62" spans="2:4" ht="51" customHeight="1" x14ac:dyDescent="0.3">
      <c r="C62" s="52"/>
    </row>
    <row r="63" spans="2:4" ht="51" customHeight="1" x14ac:dyDescent="0.3">
      <c r="C63" s="52"/>
    </row>
    <row r="64" spans="2:4" ht="51" customHeight="1" x14ac:dyDescent="0.3">
      <c r="C64" s="52"/>
    </row>
    <row r="65" spans="3:3" ht="51" customHeight="1" x14ac:dyDescent="0.3">
      <c r="C65" s="52"/>
    </row>
    <row r="66" spans="3:3" ht="51" customHeight="1" x14ac:dyDescent="0.3">
      <c r="C66" s="52"/>
    </row>
    <row r="67" spans="3:3" ht="51" customHeight="1" x14ac:dyDescent="0.3">
      <c r="C67" s="52"/>
    </row>
    <row r="68" spans="3:3" ht="51" customHeight="1" x14ac:dyDescent="0.3">
      <c r="C68" s="52"/>
    </row>
  </sheetData>
  <autoFilter ref="A1:K50" xr:uid="{00000000-0001-0000-0000-000000000000}"/>
  <pageMargins left="0.7" right="0.7" top="0.75" bottom="0.75" header="0.3" footer="0.3"/>
  <pageSetup paperSize="9" orientation="portrait" r:id="rId1"/>
  <headerFooter>
    <oddHeader>&amp;CLECTURA DE MEDIDORES DE AGUA
BARRIO TRANSITORIO 13 DE MAYO&amp;RFECHA: _______________</oddHeader>
    <oddFooter>&amp;CCOMITÉ DE ADELANTO Y DESARROLLO 13 DE MAYO DE ANTOFAGASTA
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6E71-D28E-4DEC-90E2-87CA68CAD0AB}">
  <dimension ref="A1:L55"/>
  <sheetViews>
    <sheetView showGridLines="0" showRuler="0" zoomScale="70" zoomScaleNormal="70" zoomScaleSheetLayoutView="90" zoomScalePageLayoutView="136" workbookViewId="0">
      <pane ySplit="1" topLeftCell="A2" activePane="bottomLeft" state="frozen"/>
      <selection pane="bottomLeft" activeCell="N4" sqref="N4"/>
    </sheetView>
  </sheetViews>
  <sheetFormatPr baseColWidth="10" defaultColWidth="14.44140625" defaultRowHeight="51" customHeight="1" x14ac:dyDescent="0.3"/>
  <cols>
    <col min="1" max="1" width="7.77734375" style="23" customWidth="1"/>
    <col min="2" max="2" width="37.5546875" style="29" bestFit="1" customWidth="1"/>
    <col min="3" max="3" width="11.109375" style="29" bestFit="1" customWidth="1"/>
    <col min="4" max="4" width="14.88671875" style="35" customWidth="1"/>
    <col min="5" max="5" width="11.77734375" style="29" customWidth="1"/>
    <col min="6" max="6" width="17.33203125" style="29" customWidth="1"/>
    <col min="7" max="7" width="11.21875" style="29" bestFit="1" customWidth="1"/>
    <col min="8" max="8" width="13.88671875" style="29" bestFit="1" customWidth="1"/>
    <col min="9" max="9" width="14.44140625" style="29"/>
    <col min="10" max="10" width="11.109375" style="29" bestFit="1" customWidth="1"/>
    <col min="11" max="11" width="18.21875" style="40" bestFit="1" customWidth="1"/>
    <col min="12" max="16384" width="14.44140625" style="29"/>
  </cols>
  <sheetData>
    <row r="1" spans="1:11" ht="51" customHeight="1" x14ac:dyDescent="0.3">
      <c r="A1" s="4" t="s">
        <v>0</v>
      </c>
      <c r="B1" s="4" t="s">
        <v>32</v>
      </c>
      <c r="C1" s="18" t="s">
        <v>50</v>
      </c>
      <c r="D1" s="4" t="s">
        <v>37</v>
      </c>
      <c r="E1" s="4" t="s">
        <v>31</v>
      </c>
      <c r="F1" s="4" t="s">
        <v>40</v>
      </c>
      <c r="G1" s="4" t="s">
        <v>41</v>
      </c>
      <c r="H1" s="5" t="s">
        <v>42</v>
      </c>
      <c r="I1" s="4" t="s">
        <v>43</v>
      </c>
      <c r="J1" s="4" t="s">
        <v>44</v>
      </c>
      <c r="K1" s="19" t="s">
        <v>101</v>
      </c>
    </row>
    <row r="2" spans="1:11" ht="51" customHeight="1" x14ac:dyDescent="0.3">
      <c r="A2" s="5">
        <v>29</v>
      </c>
      <c r="B2" s="6" t="s">
        <v>55</v>
      </c>
      <c r="C2" s="17">
        <v>105563</v>
      </c>
      <c r="D2" s="30">
        <v>4.9459999999999997</v>
      </c>
      <c r="E2" s="30">
        <v>18.462</v>
      </c>
      <c r="F2" s="30">
        <f>E2-D2</f>
        <v>13.516</v>
      </c>
      <c r="G2" s="30">
        <v>2197.4</v>
      </c>
      <c r="H2" s="31">
        <f>F2*G2</f>
        <v>29700.058400000002</v>
      </c>
      <c r="I2" s="32">
        <f>$D$38</f>
        <v>1291.6029310344823</v>
      </c>
      <c r="J2" s="31">
        <v>0</v>
      </c>
      <c r="K2" s="33">
        <f>H2+I2+J2</f>
        <v>30991.661331034484</v>
      </c>
    </row>
    <row r="3" spans="1:11" s="35" customFormat="1" ht="51" customHeight="1" x14ac:dyDescent="0.3">
      <c r="A3" s="5">
        <v>30</v>
      </c>
      <c r="B3" s="20" t="s">
        <v>99</v>
      </c>
      <c r="C3" s="24">
        <v>105536</v>
      </c>
      <c r="D3" s="28">
        <v>0.30499999999999999</v>
      </c>
      <c r="E3" s="28">
        <v>0.30499999999999999</v>
      </c>
      <c r="F3" s="30">
        <f>E3-D3</f>
        <v>0</v>
      </c>
      <c r="G3" s="30">
        <v>2197.4</v>
      </c>
      <c r="H3" s="31">
        <f>F3*G3</f>
        <v>0</v>
      </c>
      <c r="I3" s="32"/>
      <c r="J3" s="31">
        <v>0</v>
      </c>
      <c r="K3" s="34">
        <f t="shared" ref="K3:K4" si="0">H3+I3+J3</f>
        <v>0</v>
      </c>
    </row>
    <row r="4" spans="1:11" ht="51" customHeight="1" x14ac:dyDescent="0.3">
      <c r="A4" s="5">
        <v>31</v>
      </c>
      <c r="B4" s="6" t="s">
        <v>56</v>
      </c>
      <c r="C4" s="17">
        <v>105567</v>
      </c>
      <c r="D4" s="30">
        <v>1.385</v>
      </c>
      <c r="E4" s="30">
        <v>5.5750000000000002</v>
      </c>
      <c r="F4" s="30">
        <f t="shared" ref="F4:F32" si="1">E4-D4</f>
        <v>4.1900000000000004</v>
      </c>
      <c r="G4" s="30">
        <v>2197.4</v>
      </c>
      <c r="H4" s="31">
        <f t="shared" ref="H4:H29" si="2">F4*G4</f>
        <v>9207.1060000000016</v>
      </c>
      <c r="I4" s="32">
        <f t="shared" ref="I3:I33" si="3">$D$38</f>
        <v>1291.6029310344823</v>
      </c>
      <c r="J4" s="31">
        <v>7000</v>
      </c>
      <c r="K4" s="33">
        <f t="shared" si="0"/>
        <v>17498.708931034482</v>
      </c>
    </row>
    <row r="5" spans="1:11" ht="51" customHeight="1" x14ac:dyDescent="0.3">
      <c r="A5" s="5">
        <v>32</v>
      </c>
      <c r="B5" s="6" t="s">
        <v>57</v>
      </c>
      <c r="C5" s="17">
        <v>106175</v>
      </c>
      <c r="D5" s="30">
        <v>11.771000000000001</v>
      </c>
      <c r="E5" s="30">
        <v>16.654</v>
      </c>
      <c r="F5" s="30">
        <f t="shared" si="1"/>
        <v>4.8829999999999991</v>
      </c>
      <c r="G5" s="30">
        <v>2197.4</v>
      </c>
      <c r="H5" s="31">
        <f t="shared" si="2"/>
        <v>10729.904199999999</v>
      </c>
      <c r="I5" s="32">
        <f t="shared" si="3"/>
        <v>1291.6029310344823</v>
      </c>
      <c r="J5" s="31">
        <v>0</v>
      </c>
      <c r="K5" s="33">
        <f t="shared" ref="K5:K32" si="4">H5+I5+J5</f>
        <v>12021.507131034481</v>
      </c>
    </row>
    <row r="6" spans="1:11" ht="51" customHeight="1" x14ac:dyDescent="0.3">
      <c r="A6" s="5">
        <v>33</v>
      </c>
      <c r="B6" s="6" t="s">
        <v>58</v>
      </c>
      <c r="C6" s="17">
        <v>105518</v>
      </c>
      <c r="D6" s="30">
        <v>6.266</v>
      </c>
      <c r="E6" s="30">
        <v>11.492000000000001</v>
      </c>
      <c r="F6" s="30">
        <f t="shared" si="1"/>
        <v>5.2260000000000009</v>
      </c>
      <c r="G6" s="30">
        <v>2197.4</v>
      </c>
      <c r="H6" s="31">
        <f t="shared" si="2"/>
        <v>11483.612400000002</v>
      </c>
      <c r="I6" s="32">
        <f t="shared" si="3"/>
        <v>1291.6029310344823</v>
      </c>
      <c r="J6" s="31">
        <v>0</v>
      </c>
      <c r="K6" s="33">
        <f t="shared" si="4"/>
        <v>12775.215331034484</v>
      </c>
    </row>
    <row r="7" spans="1:11" ht="51" customHeight="1" x14ac:dyDescent="0.3">
      <c r="A7" s="5">
        <v>34</v>
      </c>
      <c r="B7" s="6" t="s">
        <v>59</v>
      </c>
      <c r="C7" s="17">
        <v>105553</v>
      </c>
      <c r="D7" s="30">
        <v>11.007999999999999</v>
      </c>
      <c r="E7" s="30">
        <v>15.108000000000001</v>
      </c>
      <c r="F7" s="30">
        <f t="shared" si="1"/>
        <v>4.1000000000000014</v>
      </c>
      <c r="G7" s="30">
        <v>2197.4</v>
      </c>
      <c r="H7" s="31">
        <f t="shared" si="2"/>
        <v>9009.3400000000038</v>
      </c>
      <c r="I7" s="32">
        <f t="shared" si="3"/>
        <v>1291.6029310344823</v>
      </c>
      <c r="J7" s="31">
        <v>7000</v>
      </c>
      <c r="K7" s="33">
        <f t="shared" si="4"/>
        <v>17300.942931034486</v>
      </c>
    </row>
    <row r="8" spans="1:11" ht="51" customHeight="1" x14ac:dyDescent="0.3">
      <c r="A8" s="5">
        <v>36</v>
      </c>
      <c r="B8" s="6" t="s">
        <v>60</v>
      </c>
      <c r="C8" s="17">
        <v>105568</v>
      </c>
      <c r="D8" s="30">
        <v>1.855</v>
      </c>
      <c r="E8" s="30">
        <v>7.2350000000000003</v>
      </c>
      <c r="F8" s="30">
        <f t="shared" si="1"/>
        <v>5.3800000000000008</v>
      </c>
      <c r="G8" s="30">
        <v>2197.4</v>
      </c>
      <c r="H8" s="31">
        <f t="shared" si="2"/>
        <v>11822.012000000002</v>
      </c>
      <c r="I8" s="32">
        <f t="shared" si="3"/>
        <v>1291.6029310344823</v>
      </c>
      <c r="J8" s="31">
        <v>0</v>
      </c>
      <c r="K8" s="33">
        <f t="shared" si="4"/>
        <v>13113.614931034484</v>
      </c>
    </row>
    <row r="9" spans="1:11" ht="51" customHeight="1" x14ac:dyDescent="0.3">
      <c r="A9" s="5">
        <v>37</v>
      </c>
      <c r="B9" s="6" t="s">
        <v>61</v>
      </c>
      <c r="C9" s="17">
        <v>105552</v>
      </c>
      <c r="D9" s="30">
        <v>10.567</v>
      </c>
      <c r="E9" s="30">
        <v>16.489999999999998</v>
      </c>
      <c r="F9" s="30">
        <f t="shared" si="1"/>
        <v>5.9229999999999983</v>
      </c>
      <c r="G9" s="30">
        <v>2197.4</v>
      </c>
      <c r="H9" s="31">
        <f t="shared" si="2"/>
        <v>13015.200199999997</v>
      </c>
      <c r="I9" s="32">
        <f t="shared" si="3"/>
        <v>1291.6029310344823</v>
      </c>
      <c r="J9" s="31">
        <v>7000</v>
      </c>
      <c r="K9" s="33">
        <f t="shared" si="4"/>
        <v>21306.803131034481</v>
      </c>
    </row>
    <row r="10" spans="1:11" ht="51" customHeight="1" x14ac:dyDescent="0.3">
      <c r="A10" s="5">
        <v>38</v>
      </c>
      <c r="B10" s="6" t="s">
        <v>62</v>
      </c>
      <c r="C10" s="17">
        <v>105564</v>
      </c>
      <c r="D10" s="30">
        <v>2.54</v>
      </c>
      <c r="E10" s="30">
        <v>9.798</v>
      </c>
      <c r="F10" s="30">
        <f t="shared" si="1"/>
        <v>7.258</v>
      </c>
      <c r="G10" s="30">
        <v>2197.4</v>
      </c>
      <c r="H10" s="31">
        <f t="shared" si="2"/>
        <v>15948.729200000002</v>
      </c>
      <c r="I10" s="32">
        <f t="shared" si="3"/>
        <v>1291.6029310344823</v>
      </c>
      <c r="J10" s="31">
        <v>7000</v>
      </c>
      <c r="K10" s="33">
        <f t="shared" si="4"/>
        <v>24240.332131034484</v>
      </c>
    </row>
    <row r="11" spans="1:11" ht="51" customHeight="1" x14ac:dyDescent="0.3">
      <c r="A11" s="5">
        <v>39</v>
      </c>
      <c r="B11" s="6" t="s">
        <v>63</v>
      </c>
      <c r="C11" s="17">
        <v>105551</v>
      </c>
      <c r="D11" s="30">
        <v>13.798</v>
      </c>
      <c r="E11" s="30">
        <v>21.462</v>
      </c>
      <c r="F11" s="30">
        <f t="shared" si="1"/>
        <v>7.6639999999999997</v>
      </c>
      <c r="G11" s="30">
        <v>2197.4</v>
      </c>
      <c r="H11" s="31">
        <f t="shared" si="2"/>
        <v>16840.873599999999</v>
      </c>
      <c r="I11" s="32">
        <f t="shared" si="3"/>
        <v>1291.6029310344823</v>
      </c>
      <c r="J11" s="31">
        <v>0</v>
      </c>
      <c r="K11" s="33">
        <f t="shared" si="4"/>
        <v>18132.476531034481</v>
      </c>
    </row>
    <row r="12" spans="1:11" ht="51" customHeight="1" x14ac:dyDescent="0.3">
      <c r="A12" s="5">
        <v>40</v>
      </c>
      <c r="B12" s="6" t="s">
        <v>64</v>
      </c>
      <c r="C12" s="17">
        <v>105512</v>
      </c>
      <c r="D12" s="30">
        <v>8.9130000000000003</v>
      </c>
      <c r="E12" s="30">
        <v>13.461</v>
      </c>
      <c r="F12" s="30">
        <f t="shared" si="1"/>
        <v>4.548</v>
      </c>
      <c r="G12" s="30">
        <v>2197.4</v>
      </c>
      <c r="H12" s="31">
        <f t="shared" si="2"/>
        <v>9993.7752</v>
      </c>
      <c r="I12" s="32">
        <f t="shared" si="3"/>
        <v>1291.6029310344823</v>
      </c>
      <c r="J12" s="31">
        <v>0</v>
      </c>
      <c r="K12" s="33">
        <f t="shared" si="4"/>
        <v>11285.378131034482</v>
      </c>
    </row>
    <row r="13" spans="1:11" ht="51" customHeight="1" x14ac:dyDescent="0.3">
      <c r="A13" s="5">
        <v>41</v>
      </c>
      <c r="B13" s="6" t="s">
        <v>65</v>
      </c>
      <c r="C13" s="17">
        <v>105565</v>
      </c>
      <c r="D13" s="30">
        <v>0.63100000000000001</v>
      </c>
      <c r="E13" s="30">
        <v>4.4180000000000001</v>
      </c>
      <c r="F13" s="30">
        <f t="shared" si="1"/>
        <v>3.7869999999999999</v>
      </c>
      <c r="G13" s="30">
        <v>2197.4</v>
      </c>
      <c r="H13" s="31">
        <f t="shared" si="2"/>
        <v>8321.5537999999997</v>
      </c>
      <c r="I13" s="32">
        <f t="shared" si="3"/>
        <v>1291.6029310344823</v>
      </c>
      <c r="J13" s="31">
        <v>0</v>
      </c>
      <c r="K13" s="33">
        <f t="shared" si="4"/>
        <v>9613.1567310344817</v>
      </c>
    </row>
    <row r="14" spans="1:11" ht="51" customHeight="1" x14ac:dyDescent="0.3">
      <c r="A14" s="5">
        <v>42</v>
      </c>
      <c r="B14" s="6" t="s">
        <v>66</v>
      </c>
      <c r="C14" s="17">
        <v>105517</v>
      </c>
      <c r="D14" s="30">
        <v>12.345000000000001</v>
      </c>
      <c r="E14" s="30">
        <v>22.446000000000002</v>
      </c>
      <c r="F14" s="30">
        <f t="shared" si="1"/>
        <v>10.101000000000001</v>
      </c>
      <c r="G14" s="30">
        <v>2197.4</v>
      </c>
      <c r="H14" s="31">
        <f t="shared" si="2"/>
        <v>22195.937400000003</v>
      </c>
      <c r="I14" s="32">
        <f t="shared" si="3"/>
        <v>1291.6029310344823</v>
      </c>
      <c r="J14" s="31">
        <v>0</v>
      </c>
      <c r="K14" s="33">
        <f t="shared" si="4"/>
        <v>23487.540331034485</v>
      </c>
    </row>
    <row r="15" spans="1:11" ht="51" customHeight="1" x14ac:dyDescent="0.3">
      <c r="A15" s="5">
        <v>43</v>
      </c>
      <c r="B15" s="6" t="s">
        <v>67</v>
      </c>
      <c r="C15" s="17">
        <v>105558</v>
      </c>
      <c r="D15" s="30">
        <v>13.363</v>
      </c>
      <c r="E15" s="30">
        <v>22.254000000000001</v>
      </c>
      <c r="F15" s="30">
        <f t="shared" si="1"/>
        <v>8.8910000000000018</v>
      </c>
      <c r="G15" s="30">
        <v>2197.4</v>
      </c>
      <c r="H15" s="31">
        <f t="shared" si="2"/>
        <v>19537.083400000003</v>
      </c>
      <c r="I15" s="32">
        <f t="shared" si="3"/>
        <v>1291.6029310344823</v>
      </c>
      <c r="J15" s="31">
        <v>7000</v>
      </c>
      <c r="K15" s="33">
        <f t="shared" si="4"/>
        <v>27828.686331034485</v>
      </c>
    </row>
    <row r="16" spans="1:11" ht="51" customHeight="1" x14ac:dyDescent="0.3">
      <c r="A16" s="5">
        <v>44</v>
      </c>
      <c r="B16" s="6" t="s">
        <v>68</v>
      </c>
      <c r="C16" s="17">
        <v>105556</v>
      </c>
      <c r="D16" s="30">
        <v>13.948</v>
      </c>
      <c r="E16" s="30">
        <v>21.347999999999999</v>
      </c>
      <c r="F16" s="30">
        <f t="shared" si="1"/>
        <v>7.3999999999999986</v>
      </c>
      <c r="G16" s="30">
        <v>2197.4</v>
      </c>
      <c r="H16" s="31">
        <f t="shared" si="2"/>
        <v>16260.759999999998</v>
      </c>
      <c r="I16" s="32">
        <f t="shared" si="3"/>
        <v>1291.6029310344823</v>
      </c>
      <c r="J16" s="31">
        <v>0</v>
      </c>
      <c r="K16" s="33">
        <f t="shared" si="4"/>
        <v>17552.36293103448</v>
      </c>
    </row>
    <row r="17" spans="1:12" s="35" customFormat="1" ht="51" customHeight="1" x14ac:dyDescent="0.3">
      <c r="A17" s="5">
        <v>50</v>
      </c>
      <c r="B17" s="6" t="s">
        <v>69</v>
      </c>
      <c r="C17" s="17">
        <v>105516</v>
      </c>
      <c r="D17" s="30">
        <v>10.442</v>
      </c>
      <c r="E17" s="30">
        <v>16.25</v>
      </c>
      <c r="F17" s="30">
        <f t="shared" si="1"/>
        <v>5.8079999999999998</v>
      </c>
      <c r="G17" s="30">
        <v>2197.4</v>
      </c>
      <c r="H17" s="31">
        <f t="shared" si="2"/>
        <v>12762.4992</v>
      </c>
      <c r="I17" s="32">
        <f t="shared" si="3"/>
        <v>1291.6029310344823</v>
      </c>
      <c r="J17" s="31">
        <v>7000</v>
      </c>
      <c r="K17" s="33">
        <f t="shared" si="4"/>
        <v>21054.10213103448</v>
      </c>
    </row>
    <row r="18" spans="1:12" s="35" customFormat="1" ht="51" customHeight="1" x14ac:dyDescent="0.3">
      <c r="A18" s="5">
        <v>58</v>
      </c>
      <c r="B18" s="6" t="s">
        <v>70</v>
      </c>
      <c r="C18" s="17">
        <v>106726</v>
      </c>
      <c r="D18" s="30">
        <v>23.94</v>
      </c>
      <c r="E18" s="30">
        <v>39.898000000000003</v>
      </c>
      <c r="F18" s="30">
        <f t="shared" si="1"/>
        <v>15.958000000000002</v>
      </c>
      <c r="G18" s="30">
        <v>2197.4</v>
      </c>
      <c r="H18" s="31">
        <f t="shared" si="2"/>
        <v>35066.109200000006</v>
      </c>
      <c r="I18" s="32">
        <f t="shared" si="3"/>
        <v>1291.6029310344823</v>
      </c>
      <c r="J18" s="31">
        <v>7000</v>
      </c>
      <c r="K18" s="33">
        <f t="shared" si="4"/>
        <v>43357.712131034488</v>
      </c>
    </row>
    <row r="19" spans="1:12" s="35" customFormat="1" ht="51" customHeight="1" x14ac:dyDescent="0.3">
      <c r="A19" s="5">
        <v>59</v>
      </c>
      <c r="B19" s="6" t="s">
        <v>71</v>
      </c>
      <c r="C19" s="17">
        <v>105559</v>
      </c>
      <c r="D19" s="30">
        <v>15.968999999999999</v>
      </c>
      <c r="E19" s="30">
        <v>21.821999999999999</v>
      </c>
      <c r="F19" s="30">
        <f t="shared" si="1"/>
        <v>5.8529999999999998</v>
      </c>
      <c r="G19" s="30">
        <v>2197.4</v>
      </c>
      <c r="H19" s="31">
        <f t="shared" si="2"/>
        <v>12861.3822</v>
      </c>
      <c r="I19" s="32">
        <f t="shared" si="3"/>
        <v>1291.6029310344823</v>
      </c>
      <c r="J19" s="31">
        <v>7000</v>
      </c>
      <c r="K19" s="33">
        <f t="shared" si="4"/>
        <v>21152.985131034482</v>
      </c>
    </row>
    <row r="20" spans="1:12" s="35" customFormat="1" ht="51" customHeight="1" x14ac:dyDescent="0.3">
      <c r="A20" s="5">
        <v>60</v>
      </c>
      <c r="B20" s="6" t="s">
        <v>72</v>
      </c>
      <c r="C20" s="17">
        <v>105513</v>
      </c>
      <c r="D20" s="30">
        <v>5.8769999999999998</v>
      </c>
      <c r="E20" s="30">
        <v>9.6590000000000007</v>
      </c>
      <c r="F20" s="30">
        <f t="shared" si="1"/>
        <v>3.7820000000000009</v>
      </c>
      <c r="G20" s="30">
        <v>2197.4</v>
      </c>
      <c r="H20" s="31">
        <f t="shared" si="2"/>
        <v>8310.5668000000023</v>
      </c>
      <c r="I20" s="32">
        <f t="shared" si="3"/>
        <v>1291.6029310344823</v>
      </c>
      <c r="J20" s="31">
        <v>7000</v>
      </c>
      <c r="K20" s="33">
        <f t="shared" si="4"/>
        <v>16602.169731034483</v>
      </c>
    </row>
    <row r="21" spans="1:12" s="35" customFormat="1" ht="51" customHeight="1" x14ac:dyDescent="0.3">
      <c r="A21" s="5">
        <v>61</v>
      </c>
      <c r="B21" s="6" t="s">
        <v>73</v>
      </c>
      <c r="C21" s="17">
        <v>105514</v>
      </c>
      <c r="D21" s="30">
        <v>3.0089999999999999</v>
      </c>
      <c r="E21" s="30">
        <v>10.568</v>
      </c>
      <c r="F21" s="30">
        <f t="shared" si="1"/>
        <v>7.5589999999999993</v>
      </c>
      <c r="G21" s="30">
        <v>2197.4</v>
      </c>
      <c r="H21" s="31">
        <f t="shared" si="2"/>
        <v>16610.1466</v>
      </c>
      <c r="I21" s="32">
        <f t="shared" si="3"/>
        <v>1291.6029310344823</v>
      </c>
      <c r="J21" s="31">
        <v>0</v>
      </c>
      <c r="K21" s="33">
        <f t="shared" si="4"/>
        <v>17901.749531034482</v>
      </c>
    </row>
    <row r="22" spans="1:12" s="35" customFormat="1" ht="51" customHeight="1" x14ac:dyDescent="0.3">
      <c r="A22" s="5">
        <v>62</v>
      </c>
      <c r="B22" s="6" t="s">
        <v>74</v>
      </c>
      <c r="C22" s="17">
        <v>105515</v>
      </c>
      <c r="D22" s="30">
        <v>7.4989999999999997</v>
      </c>
      <c r="E22" s="30">
        <v>9.7210000000000001</v>
      </c>
      <c r="F22" s="30">
        <f t="shared" si="1"/>
        <v>2.2220000000000004</v>
      </c>
      <c r="G22" s="30">
        <v>2197.4</v>
      </c>
      <c r="H22" s="31">
        <f t="shared" si="2"/>
        <v>4882.622800000001</v>
      </c>
      <c r="I22" s="32">
        <f t="shared" si="3"/>
        <v>1291.6029310344823</v>
      </c>
      <c r="J22" s="31">
        <v>7000</v>
      </c>
      <c r="K22" s="33">
        <f t="shared" si="4"/>
        <v>13174.225731034483</v>
      </c>
    </row>
    <row r="23" spans="1:12" s="35" customFormat="1" ht="51" customHeight="1" x14ac:dyDescent="0.3">
      <c r="A23" s="5">
        <v>63</v>
      </c>
      <c r="B23" s="20" t="s">
        <v>54</v>
      </c>
      <c r="C23" s="24">
        <v>105520</v>
      </c>
      <c r="D23" s="28">
        <v>0.372</v>
      </c>
      <c r="E23" s="28">
        <v>2.972</v>
      </c>
      <c r="F23" s="30">
        <f t="shared" si="1"/>
        <v>2.6</v>
      </c>
      <c r="G23" s="28">
        <v>2197.4</v>
      </c>
      <c r="H23" s="36">
        <f t="shared" si="2"/>
        <v>5713.2400000000007</v>
      </c>
      <c r="I23" s="32"/>
      <c r="J23" s="31">
        <v>0</v>
      </c>
      <c r="K23" s="33">
        <f t="shared" si="4"/>
        <v>5713.2400000000007</v>
      </c>
    </row>
    <row r="24" spans="1:12" ht="51" customHeight="1" x14ac:dyDescent="0.3">
      <c r="A24" s="5">
        <v>64</v>
      </c>
      <c r="B24" s="6" t="s">
        <v>75</v>
      </c>
      <c r="C24" s="17">
        <v>105537</v>
      </c>
      <c r="D24" s="30">
        <v>19.364000000000001</v>
      </c>
      <c r="E24" s="30">
        <v>30.457999999999998</v>
      </c>
      <c r="F24" s="30">
        <f t="shared" si="1"/>
        <v>11.093999999999998</v>
      </c>
      <c r="G24" s="30">
        <v>2197.4</v>
      </c>
      <c r="H24" s="31">
        <f t="shared" si="2"/>
        <v>24377.955599999998</v>
      </c>
      <c r="I24" s="32">
        <f t="shared" si="3"/>
        <v>1291.6029310344823</v>
      </c>
      <c r="J24" s="31">
        <v>7000</v>
      </c>
      <c r="K24" s="33">
        <f t="shared" si="4"/>
        <v>32669.55853103448</v>
      </c>
    </row>
    <row r="25" spans="1:12" ht="51" customHeight="1" x14ac:dyDescent="0.3">
      <c r="A25" s="5">
        <v>65</v>
      </c>
      <c r="B25" s="6" t="s">
        <v>76</v>
      </c>
      <c r="C25" s="17">
        <v>105566</v>
      </c>
      <c r="D25" s="30">
        <v>4.7039999999999997</v>
      </c>
      <c r="E25" s="30">
        <v>17.117000000000001</v>
      </c>
      <c r="F25" s="30">
        <f t="shared" si="1"/>
        <v>12.413</v>
      </c>
      <c r="G25" s="30">
        <v>2197.4</v>
      </c>
      <c r="H25" s="31">
        <f t="shared" si="2"/>
        <v>27276.326200000003</v>
      </c>
      <c r="I25" s="32">
        <f t="shared" si="3"/>
        <v>1291.6029310344823</v>
      </c>
      <c r="J25" s="31">
        <v>0</v>
      </c>
      <c r="K25" s="33">
        <f t="shared" si="4"/>
        <v>28567.929131034485</v>
      </c>
      <c r="L25" s="35"/>
    </row>
    <row r="26" spans="1:12" ht="51" customHeight="1" x14ac:dyDescent="0.3">
      <c r="A26" s="5">
        <v>66</v>
      </c>
      <c r="B26" s="6" t="s">
        <v>77</v>
      </c>
      <c r="C26" s="17">
        <v>105557</v>
      </c>
      <c r="D26" s="30">
        <v>22.106000000000002</v>
      </c>
      <c r="E26" s="30">
        <v>31.289000000000001</v>
      </c>
      <c r="F26" s="30">
        <f t="shared" si="1"/>
        <v>9.1829999999999998</v>
      </c>
      <c r="G26" s="30">
        <v>2197.4</v>
      </c>
      <c r="H26" s="31">
        <f t="shared" si="2"/>
        <v>20178.724200000001</v>
      </c>
      <c r="I26" s="32">
        <f t="shared" si="3"/>
        <v>1291.6029310344823</v>
      </c>
      <c r="J26" s="31">
        <v>7000</v>
      </c>
      <c r="K26" s="33">
        <f t="shared" si="4"/>
        <v>28470.327131034483</v>
      </c>
    </row>
    <row r="27" spans="1:12" ht="51" customHeight="1" x14ac:dyDescent="0.3">
      <c r="A27" s="5">
        <v>67</v>
      </c>
      <c r="B27" s="6" t="s">
        <v>78</v>
      </c>
      <c r="C27" s="17">
        <v>105555</v>
      </c>
      <c r="D27" s="30">
        <v>11.355</v>
      </c>
      <c r="E27" s="30">
        <v>20.048999999999999</v>
      </c>
      <c r="F27" s="30">
        <f t="shared" si="1"/>
        <v>8.6939999999999991</v>
      </c>
      <c r="G27" s="30">
        <v>2197.4</v>
      </c>
      <c r="H27" s="31">
        <f t="shared" si="2"/>
        <v>19104.195599999999</v>
      </c>
      <c r="I27" s="32">
        <f t="shared" si="3"/>
        <v>1291.6029310344823</v>
      </c>
      <c r="J27" s="31">
        <v>7000</v>
      </c>
      <c r="K27" s="33">
        <f t="shared" si="4"/>
        <v>27395.798531034481</v>
      </c>
      <c r="L27" s="35"/>
    </row>
    <row r="28" spans="1:12" ht="51" customHeight="1" x14ac:dyDescent="0.3">
      <c r="A28" s="5">
        <v>68</v>
      </c>
      <c r="B28" s="6" t="s">
        <v>79</v>
      </c>
      <c r="C28" s="17">
        <v>105554</v>
      </c>
      <c r="D28" s="30">
        <v>35.979999999999997</v>
      </c>
      <c r="E28" s="30">
        <v>55.966999999999999</v>
      </c>
      <c r="F28" s="30">
        <f t="shared" si="1"/>
        <v>19.987000000000002</v>
      </c>
      <c r="G28" s="30">
        <v>2197.4</v>
      </c>
      <c r="H28" s="31">
        <f t="shared" si="2"/>
        <v>43919.433800000006</v>
      </c>
      <c r="I28" s="32">
        <f t="shared" si="3"/>
        <v>1291.6029310344823</v>
      </c>
      <c r="J28" s="31">
        <v>0</v>
      </c>
      <c r="K28" s="33">
        <f t="shared" si="4"/>
        <v>45211.036731034488</v>
      </c>
      <c r="L28" s="35"/>
    </row>
    <row r="29" spans="1:12" ht="51" customHeight="1" x14ac:dyDescent="0.3">
      <c r="A29" s="5">
        <v>69</v>
      </c>
      <c r="B29" s="30" t="s">
        <v>80</v>
      </c>
      <c r="C29" s="17">
        <v>106174</v>
      </c>
      <c r="D29" s="30">
        <v>8.8000000000000007</v>
      </c>
      <c r="E29" s="30">
        <v>24.353000000000002</v>
      </c>
      <c r="F29" s="30">
        <f t="shared" si="1"/>
        <v>15.553000000000001</v>
      </c>
      <c r="G29" s="30">
        <v>2197.4</v>
      </c>
      <c r="H29" s="31">
        <f t="shared" si="2"/>
        <v>34176.162200000006</v>
      </c>
      <c r="I29" s="32">
        <f t="shared" si="3"/>
        <v>1291.6029310344823</v>
      </c>
      <c r="J29" s="31">
        <v>7000</v>
      </c>
      <c r="K29" s="33">
        <f t="shared" si="4"/>
        <v>42467.765131034488</v>
      </c>
      <c r="L29" s="35"/>
    </row>
    <row r="30" spans="1:12" ht="51" customHeight="1" x14ac:dyDescent="0.3">
      <c r="A30" s="5">
        <v>70</v>
      </c>
      <c r="B30" s="6" t="s">
        <v>81</v>
      </c>
      <c r="C30" s="17">
        <v>106178</v>
      </c>
      <c r="D30" s="30">
        <v>1.5720000000000001</v>
      </c>
      <c r="E30" s="30">
        <v>77.962999999999994</v>
      </c>
      <c r="F30" s="30">
        <f t="shared" si="1"/>
        <v>76.390999999999991</v>
      </c>
      <c r="G30" s="30">
        <v>2197.4</v>
      </c>
      <c r="H30" s="31">
        <f>F30*G30</f>
        <v>167861.58339999997</v>
      </c>
      <c r="I30" s="32">
        <f t="shared" si="3"/>
        <v>1291.6029310344823</v>
      </c>
      <c r="J30" s="31">
        <v>7000</v>
      </c>
      <c r="K30" s="33">
        <f t="shared" si="4"/>
        <v>176153.18633103446</v>
      </c>
    </row>
    <row r="31" spans="1:12" ht="51" customHeight="1" x14ac:dyDescent="0.3">
      <c r="A31" s="5">
        <v>71</v>
      </c>
      <c r="B31" s="6" t="s">
        <v>82</v>
      </c>
      <c r="C31" s="17">
        <v>105519</v>
      </c>
      <c r="D31" s="30">
        <v>18.155000000000001</v>
      </c>
      <c r="E31" s="30">
        <v>23.712</v>
      </c>
      <c r="F31" s="30">
        <f t="shared" si="1"/>
        <v>5.5569999999999986</v>
      </c>
      <c r="G31" s="30">
        <v>2197.4</v>
      </c>
      <c r="H31" s="31">
        <f t="shared" ref="H31:H33" si="5">F31*G31</f>
        <v>12210.951799999997</v>
      </c>
      <c r="I31" s="32">
        <f t="shared" si="3"/>
        <v>1291.6029310344823</v>
      </c>
      <c r="J31" s="31">
        <v>7000</v>
      </c>
      <c r="K31" s="33">
        <f t="shared" si="4"/>
        <v>20502.554731034477</v>
      </c>
    </row>
    <row r="32" spans="1:12" ht="51" customHeight="1" x14ac:dyDescent="0.3">
      <c r="A32" s="5">
        <v>72</v>
      </c>
      <c r="B32" s="6" t="s">
        <v>83</v>
      </c>
      <c r="C32" s="17">
        <v>106177</v>
      </c>
      <c r="D32" s="30">
        <v>17.393000000000001</v>
      </c>
      <c r="E32" s="30">
        <v>23.597000000000001</v>
      </c>
      <c r="F32" s="30">
        <f t="shared" si="1"/>
        <v>6.2040000000000006</v>
      </c>
      <c r="G32" s="30">
        <v>2197.4</v>
      </c>
      <c r="H32" s="31">
        <f t="shared" si="5"/>
        <v>13632.669600000001</v>
      </c>
      <c r="I32" s="32">
        <f t="shared" si="3"/>
        <v>1291.6029310344823</v>
      </c>
      <c r="J32" s="31">
        <v>0</v>
      </c>
      <c r="K32" s="33">
        <f t="shared" si="4"/>
        <v>14924.272531034483</v>
      </c>
    </row>
    <row r="33" spans="1:11" ht="51" customHeight="1" x14ac:dyDescent="0.3">
      <c r="A33" s="5"/>
      <c r="B33" s="30" t="s">
        <v>53</v>
      </c>
      <c r="C33" s="17" t="s">
        <v>100</v>
      </c>
      <c r="D33" s="30">
        <v>0</v>
      </c>
      <c r="E33" s="30">
        <v>771.41600000000005</v>
      </c>
      <c r="F33" s="30">
        <f t="shared" ref="F33" si="6">E34-D34</f>
        <v>0</v>
      </c>
      <c r="G33" s="30"/>
      <c r="H33" s="31">
        <f t="shared" si="5"/>
        <v>0</v>
      </c>
      <c r="I33" s="32"/>
      <c r="J33" s="31"/>
      <c r="K33" s="33">
        <f>SUM(K2:K32)</f>
        <v>812467</v>
      </c>
    </row>
    <row r="34" spans="1:11" ht="51" customHeight="1" x14ac:dyDescent="0.3">
      <c r="B34" s="29" t="s">
        <v>46</v>
      </c>
      <c r="C34" s="37">
        <v>1522</v>
      </c>
      <c r="F34" s="29">
        <f>SUM(F2:F32)</f>
        <v>301.72499999999997</v>
      </c>
      <c r="G34" s="35" t="s">
        <v>47</v>
      </c>
      <c r="H34" s="38">
        <f>SUM(H2:H32)</f>
        <v>663010.51500000001</v>
      </c>
      <c r="I34" s="39">
        <f>SUM(I2:I33)</f>
        <v>37456.484999999986</v>
      </c>
      <c r="J34" s="40">
        <f>SUM(J2:J33)</f>
        <v>112000</v>
      </c>
    </row>
    <row r="35" spans="1:11" ht="51" customHeight="1" x14ac:dyDescent="0.3">
      <c r="B35" s="29" t="s">
        <v>98</v>
      </c>
      <c r="C35" s="37">
        <v>698945</v>
      </c>
      <c r="G35" s="35"/>
      <c r="H35" s="41"/>
    </row>
    <row r="36" spans="1:11" ht="51" customHeight="1" x14ac:dyDescent="0.3">
      <c r="B36" s="29" t="s">
        <v>52</v>
      </c>
      <c r="C36" s="41">
        <f>SUM(C34:C35)</f>
        <v>700467</v>
      </c>
      <c r="G36" s="42"/>
      <c r="H36" s="39"/>
      <c r="J36" s="40"/>
    </row>
    <row r="37" spans="1:11" ht="51" customHeight="1" x14ac:dyDescent="0.3">
      <c r="B37" s="29" t="s">
        <v>48</v>
      </c>
      <c r="C37" s="25"/>
      <c r="D37" s="37">
        <f>C36-H34</f>
        <v>37456.484999999986</v>
      </c>
    </row>
    <row r="38" spans="1:11" ht="51" customHeight="1" x14ac:dyDescent="0.3">
      <c r="B38" s="29" t="s">
        <v>49</v>
      </c>
      <c r="C38" s="25"/>
      <c r="D38" s="39">
        <f>D37/29</f>
        <v>1291.6029310344823</v>
      </c>
    </row>
    <row r="39" spans="1:11" ht="51" customHeight="1" x14ac:dyDescent="0.3">
      <c r="D39" s="29"/>
    </row>
    <row r="40" spans="1:11" ht="51" customHeight="1" x14ac:dyDescent="0.3">
      <c r="C40" s="25"/>
    </row>
    <row r="41" spans="1:11" ht="51" customHeight="1" x14ac:dyDescent="0.3">
      <c r="C41" s="25"/>
    </row>
    <row r="42" spans="1:11" ht="51" customHeight="1" x14ac:dyDescent="0.3">
      <c r="C42" s="25"/>
    </row>
    <row r="43" spans="1:11" ht="51" customHeight="1" x14ac:dyDescent="0.3">
      <c r="C43" s="25"/>
    </row>
    <row r="44" spans="1:11" ht="51" customHeight="1" x14ac:dyDescent="0.3">
      <c r="C44" s="25"/>
    </row>
    <row r="45" spans="1:11" ht="51" customHeight="1" x14ac:dyDescent="0.3">
      <c r="C45" s="25"/>
    </row>
    <row r="46" spans="1:11" ht="51" customHeight="1" x14ac:dyDescent="0.3">
      <c r="C46" s="25"/>
    </row>
    <row r="47" spans="1:11" ht="51" customHeight="1" x14ac:dyDescent="0.3">
      <c r="C47" s="25"/>
    </row>
    <row r="48" spans="1:11" ht="51" customHeight="1" x14ac:dyDescent="0.3">
      <c r="C48" s="25"/>
    </row>
    <row r="49" spans="1:12" ht="51" customHeight="1" x14ac:dyDescent="0.3">
      <c r="C49" s="25"/>
    </row>
    <row r="50" spans="1:12" s="35" customFormat="1" ht="51" customHeight="1" x14ac:dyDescent="0.3">
      <c r="A50" s="23"/>
      <c r="B50" s="29"/>
      <c r="C50" s="25"/>
      <c r="E50" s="29"/>
      <c r="F50" s="29"/>
      <c r="G50" s="29"/>
      <c r="H50" s="29"/>
      <c r="I50" s="29"/>
      <c r="J50" s="29"/>
      <c r="K50" s="40"/>
      <c r="L50" s="29"/>
    </row>
    <row r="51" spans="1:12" s="35" customFormat="1" ht="51" customHeight="1" x14ac:dyDescent="0.3">
      <c r="A51" s="23"/>
      <c r="B51" s="29"/>
      <c r="C51" s="25"/>
      <c r="E51" s="29"/>
      <c r="F51" s="29"/>
      <c r="G51" s="29"/>
      <c r="H51" s="29"/>
      <c r="I51" s="29"/>
      <c r="J51" s="29"/>
      <c r="K51" s="40"/>
      <c r="L51" s="29"/>
    </row>
    <row r="52" spans="1:12" s="35" customFormat="1" ht="51" customHeight="1" x14ac:dyDescent="0.3">
      <c r="A52" s="23"/>
      <c r="B52" s="29"/>
      <c r="C52" s="25"/>
      <c r="E52" s="29"/>
      <c r="F52" s="29"/>
      <c r="G52" s="29"/>
      <c r="H52" s="29"/>
      <c r="I52" s="29"/>
      <c r="J52" s="29"/>
      <c r="K52" s="40"/>
      <c r="L52" s="29"/>
    </row>
    <row r="53" spans="1:12" s="35" customFormat="1" ht="51" customHeight="1" x14ac:dyDescent="0.3">
      <c r="A53" s="23"/>
      <c r="B53" s="29"/>
      <c r="C53" s="25"/>
      <c r="E53" s="29"/>
      <c r="F53" s="29"/>
      <c r="G53" s="29"/>
      <c r="H53" s="29"/>
      <c r="I53" s="29"/>
      <c r="J53" s="29"/>
      <c r="K53" s="40"/>
      <c r="L53" s="29"/>
    </row>
    <row r="54" spans="1:12" s="35" customFormat="1" ht="51" customHeight="1" x14ac:dyDescent="0.3">
      <c r="A54" s="23"/>
      <c r="B54" s="29"/>
      <c r="C54" s="25"/>
      <c r="E54" s="29"/>
      <c r="F54" s="29"/>
      <c r="G54" s="29"/>
      <c r="H54" s="29"/>
      <c r="I54" s="29"/>
      <c r="J54" s="29"/>
      <c r="K54" s="40"/>
      <c r="L54" s="29"/>
    </row>
    <row r="55" spans="1:12" s="35" customFormat="1" ht="51" customHeight="1" x14ac:dyDescent="0.3">
      <c r="A55" s="23"/>
      <c r="B55" s="29"/>
      <c r="C55" s="25"/>
      <c r="E55" s="29"/>
      <c r="F55" s="29"/>
      <c r="G55" s="29"/>
      <c r="H55" s="29"/>
      <c r="I55" s="29"/>
      <c r="J55" s="29"/>
      <c r="K55" s="40"/>
      <c r="L55" s="29"/>
    </row>
  </sheetData>
  <autoFilter ref="A1:K38" xr:uid="{AECC6E71-D28E-4DEC-90E2-87CA68CAD0AB}"/>
  <pageMargins left="0.7" right="0.7" top="0.75" bottom="0.75" header="0.3" footer="0.3"/>
  <pageSetup paperSize="9" orientation="portrait" r:id="rId1"/>
  <headerFooter>
    <oddHeader>&amp;CLECTURA DE MEDIDORES DE AGUA
BARRIO TRANSITORIO 13 DE MAYO&amp;RFECHA: _______________</oddHeader>
    <oddFooter>&amp;CCOMITÉ DE ADELANTO Y DESARROLLO 13 DE MAYO DE ANTOFAGASTA
&amp;R&amp;P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E8C54-B3E4-4D61-9E53-C4FC6FC7077F}">
  <dimension ref="A1:H7"/>
  <sheetViews>
    <sheetView showGridLines="0" zoomScale="90" zoomScaleNormal="90" workbookViewId="0">
      <pane ySplit="1" topLeftCell="A2" activePane="bottomLeft" state="frozen"/>
      <selection pane="bottomLeft" activeCell="C17" sqref="C17"/>
    </sheetView>
  </sheetViews>
  <sheetFormatPr baseColWidth="10" defaultRowHeight="15.6" x14ac:dyDescent="0.3"/>
  <cols>
    <col min="1" max="1" width="7.109375" style="1" customWidth="1"/>
    <col min="2" max="2" width="38.88671875" style="1" bestFit="1" customWidth="1"/>
    <col min="3" max="3" width="14.33203125" style="15" customWidth="1"/>
    <col min="4" max="4" width="12" style="3" customWidth="1"/>
    <col min="5" max="5" width="9.33203125" style="3" bestFit="1" customWidth="1"/>
    <col min="6" max="6" width="9.33203125" style="1" bestFit="1" customWidth="1"/>
    <col min="7" max="7" width="11.88671875" style="1" bestFit="1" customWidth="1"/>
    <col min="8" max="8" width="65.77734375" style="1" bestFit="1" customWidth="1"/>
    <col min="9" max="16384" width="11.5546875" style="1"/>
  </cols>
  <sheetData>
    <row r="1" spans="1:8" ht="46.8" x14ac:dyDescent="0.3">
      <c r="A1" s="4" t="s">
        <v>0</v>
      </c>
      <c r="B1" s="4" t="s">
        <v>32</v>
      </c>
      <c r="C1" s="4" t="s">
        <v>50</v>
      </c>
      <c r="D1" s="4" t="s">
        <v>85</v>
      </c>
      <c r="E1" s="4" t="s">
        <v>86</v>
      </c>
      <c r="F1" s="4" t="s">
        <v>87</v>
      </c>
      <c r="G1" s="9" t="s">
        <v>84</v>
      </c>
      <c r="H1" s="5" t="s">
        <v>94</v>
      </c>
    </row>
    <row r="2" spans="1:8" s="3" customFormat="1" x14ac:dyDescent="0.3">
      <c r="A2" s="10">
        <v>11</v>
      </c>
      <c r="B2" s="11" t="s">
        <v>6</v>
      </c>
      <c r="C2" s="16">
        <v>104750</v>
      </c>
      <c r="D2" s="13">
        <v>64772</v>
      </c>
      <c r="E2" s="13">
        <v>66921</v>
      </c>
      <c r="F2" s="13">
        <v>58457</v>
      </c>
      <c r="G2" s="13">
        <f t="shared" ref="G2:G6" si="0">D2+E2+F2</f>
        <v>190150</v>
      </c>
      <c r="H2" s="12" t="s">
        <v>95</v>
      </c>
    </row>
    <row r="3" spans="1:8" s="3" customFormat="1" x14ac:dyDescent="0.3">
      <c r="A3" s="10">
        <v>23</v>
      </c>
      <c r="B3" s="11" t="s">
        <v>17</v>
      </c>
      <c r="C3" s="16">
        <v>106225</v>
      </c>
      <c r="D3" s="13"/>
      <c r="E3" s="13">
        <v>8086</v>
      </c>
      <c r="F3" s="13">
        <v>7965</v>
      </c>
      <c r="G3" s="13">
        <f t="shared" si="0"/>
        <v>16051</v>
      </c>
      <c r="H3" s="12" t="s">
        <v>96</v>
      </c>
    </row>
    <row r="4" spans="1:8" x14ac:dyDescent="0.3">
      <c r="A4" s="5">
        <v>27</v>
      </c>
      <c r="B4" s="6" t="s">
        <v>20</v>
      </c>
      <c r="C4" s="14">
        <v>104749</v>
      </c>
      <c r="D4" s="13"/>
      <c r="E4" s="13"/>
      <c r="F4" s="13">
        <v>31796</v>
      </c>
      <c r="G4" s="8">
        <f t="shared" si="0"/>
        <v>31796</v>
      </c>
      <c r="H4" s="7" t="s">
        <v>102</v>
      </c>
    </row>
    <row r="5" spans="1:8" s="3" customFormat="1" x14ac:dyDescent="0.3">
      <c r="A5" s="10">
        <v>28</v>
      </c>
      <c r="B5" s="11" t="s">
        <v>21</v>
      </c>
      <c r="C5" s="16">
        <v>104742</v>
      </c>
      <c r="D5" s="13"/>
      <c r="E5" s="13"/>
      <c r="F5" s="13">
        <v>11233</v>
      </c>
      <c r="G5" s="13">
        <f t="shared" si="0"/>
        <v>11233</v>
      </c>
      <c r="H5" s="12" t="s">
        <v>95</v>
      </c>
    </row>
    <row r="6" spans="1:8" x14ac:dyDescent="0.3">
      <c r="A6" s="5">
        <v>38</v>
      </c>
      <c r="B6" s="6" t="s">
        <v>62</v>
      </c>
      <c r="C6" s="14">
        <v>105564</v>
      </c>
      <c r="D6" s="8"/>
      <c r="E6" s="8"/>
      <c r="F6" s="8">
        <v>5287</v>
      </c>
      <c r="G6" s="8">
        <f t="shared" si="0"/>
        <v>5287</v>
      </c>
      <c r="H6" s="7" t="s">
        <v>102</v>
      </c>
    </row>
    <row r="7" spans="1:8" x14ac:dyDescent="0.3">
      <c r="G7" s="2">
        <f>SUM(G2:G6)</f>
        <v>254517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 ETAPA</vt:lpstr>
      <vt:lpstr>II ETAPA</vt:lpstr>
      <vt:lpstr>MOROSOS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Cristina Turpie</dc:creator>
  <cp:lastModifiedBy>Cris Tina</cp:lastModifiedBy>
  <cp:lastPrinted>2025-05-26T03:17:59Z</cp:lastPrinted>
  <dcterms:created xsi:type="dcterms:W3CDTF">2023-05-29T19:15:17Z</dcterms:created>
  <dcterms:modified xsi:type="dcterms:W3CDTF">2026-04-07T22:06:30Z</dcterms:modified>
</cp:coreProperties>
</file>