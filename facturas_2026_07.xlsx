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0681D91A-4710-488A-9F02-1141FCB10D84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I ETAPA" sheetId="1" state="hidden" r:id="rId1"/>
    <sheet name="II ETAPA" sheetId="3" state="hidden" r:id="rId2"/>
    <sheet name="JULIO" sheetId="7" r:id="rId3"/>
  </sheets>
  <definedNames>
    <definedName name="_xlnm._FilterDatabase" localSheetId="0" hidden="1">'I ETAPA'!$A$1:$K$51</definedName>
    <definedName name="_xlnm._FilterDatabase" localSheetId="1" hidden="1">'II ETAPA'!$A$1:$K$38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2" i="1"/>
  <c r="F33" i="3"/>
  <c r="K33" i="3" l="1"/>
  <c r="K45" i="1"/>
  <c r="F45" i="1"/>
  <c r="J16" i="3" l="1"/>
  <c r="F2" i="1" l="1"/>
  <c r="H2" i="1" s="1"/>
  <c r="K2" i="1" s="1"/>
  <c r="F3" i="1"/>
  <c r="H3" i="1" s="1"/>
  <c r="K3" i="1" s="1"/>
  <c r="F4" i="1"/>
  <c r="H4" i="1" s="1"/>
  <c r="K4" i="1" s="1"/>
  <c r="F5" i="1"/>
  <c r="H5" i="1" s="1"/>
  <c r="K5" i="1" s="1"/>
  <c r="F6" i="1"/>
  <c r="F7" i="1"/>
  <c r="H7" i="1" s="1"/>
  <c r="K7" i="1" s="1"/>
  <c r="F8" i="1"/>
  <c r="H8" i="1" s="1"/>
  <c r="K8" i="1" s="1"/>
  <c r="F9" i="1"/>
  <c r="H9" i="1" s="1"/>
  <c r="K9" i="1" s="1"/>
  <c r="F10" i="1"/>
  <c r="H10" i="1" s="1"/>
  <c r="K10" i="1" s="1"/>
  <c r="F11" i="1"/>
  <c r="H11" i="1" s="1"/>
  <c r="K11" i="1" s="1"/>
  <c r="F12" i="1"/>
  <c r="H12" i="1" s="1"/>
  <c r="K12" i="1" s="1"/>
  <c r="F13" i="1"/>
  <c r="H13" i="1" s="1"/>
  <c r="K13" i="1" s="1"/>
  <c r="F14" i="1"/>
  <c r="H14" i="1" s="1"/>
  <c r="K14" i="1" s="1"/>
  <c r="F15" i="1"/>
  <c r="H15" i="1" s="1"/>
  <c r="K15" i="1" s="1"/>
  <c r="F16" i="1"/>
  <c r="H16" i="1" s="1"/>
  <c r="K16" i="1" s="1"/>
  <c r="F17" i="1"/>
  <c r="H17" i="1" s="1"/>
  <c r="K17" i="1" s="1"/>
  <c r="F18" i="1"/>
  <c r="H18" i="1" s="1"/>
  <c r="K18" i="1" s="1"/>
  <c r="F19" i="1"/>
  <c r="H19" i="1" s="1"/>
  <c r="K19" i="1" s="1"/>
  <c r="F20" i="1"/>
  <c r="H20" i="1" s="1"/>
  <c r="K20" i="1" s="1"/>
  <c r="F21" i="1"/>
  <c r="H21" i="1" s="1"/>
  <c r="K21" i="1" s="1"/>
  <c r="F22" i="1"/>
  <c r="H22" i="1" s="1"/>
  <c r="K22" i="1" s="1"/>
  <c r="F23" i="1"/>
  <c r="H23" i="1" s="1"/>
  <c r="K23" i="1" s="1"/>
  <c r="F24" i="1"/>
  <c r="H24" i="1" s="1"/>
  <c r="K24" i="1" s="1"/>
  <c r="F25" i="1"/>
  <c r="H25" i="1" s="1"/>
  <c r="K25" i="1" s="1"/>
  <c r="F26" i="1"/>
  <c r="H26" i="1" s="1"/>
  <c r="K26" i="1" s="1"/>
  <c r="F27" i="1"/>
  <c r="H27" i="1" s="1"/>
  <c r="K27" i="1" s="1"/>
  <c r="F28" i="1"/>
  <c r="H28" i="1" s="1"/>
  <c r="K28" i="1" s="1"/>
  <c r="F29" i="1"/>
  <c r="H29" i="1" s="1"/>
  <c r="K29" i="1" s="1"/>
  <c r="F30" i="1"/>
  <c r="H30" i="1" s="1"/>
  <c r="K30" i="1" s="1"/>
  <c r="F31" i="1"/>
  <c r="H31" i="1" s="1"/>
  <c r="K31" i="1" s="1"/>
  <c r="F32" i="1"/>
  <c r="H32" i="1" s="1"/>
  <c r="K32" i="1" s="1"/>
  <c r="F33" i="1"/>
  <c r="H33" i="1" s="1"/>
  <c r="K33" i="1" s="1"/>
  <c r="F34" i="1"/>
  <c r="H34" i="1" s="1"/>
  <c r="K34" i="1" s="1"/>
  <c r="F35" i="1"/>
  <c r="H35" i="1" s="1"/>
  <c r="K35" i="1" s="1"/>
  <c r="F36" i="1"/>
  <c r="H36" i="1" s="1"/>
  <c r="K36" i="1" s="1"/>
  <c r="F37" i="1"/>
  <c r="H37" i="1" s="1"/>
  <c r="K37" i="1" s="1"/>
  <c r="F38" i="1"/>
  <c r="H38" i="1" s="1"/>
  <c r="K38" i="1" s="1"/>
  <c r="F39" i="1"/>
  <c r="H39" i="1" s="1"/>
  <c r="K39" i="1" s="1"/>
  <c r="F40" i="1"/>
  <c r="H40" i="1" s="1"/>
  <c r="K40" i="1" s="1"/>
  <c r="F41" i="1"/>
  <c r="H41" i="1" s="1"/>
  <c r="K41" i="1" s="1"/>
  <c r="F42" i="1"/>
  <c r="H42" i="1" s="1"/>
  <c r="K42" i="1" s="1"/>
  <c r="F43" i="1"/>
  <c r="H43" i="1" s="1"/>
  <c r="K43" i="1" s="1"/>
  <c r="F44" i="1"/>
  <c r="H44" i="1" s="1"/>
  <c r="K44" i="1" s="1"/>
  <c r="H6" i="1" l="1"/>
  <c r="K6" i="1" s="1"/>
  <c r="K46" i="1" s="1"/>
  <c r="F46" i="1"/>
  <c r="C37" i="3"/>
  <c r="C49" i="1"/>
  <c r="F3" i="3" l="1"/>
  <c r="H3" i="3" s="1"/>
  <c r="F4" i="3"/>
  <c r="H4" i="3" s="1"/>
  <c r="F5" i="3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F26" i="3"/>
  <c r="H26" i="3" s="1"/>
  <c r="F27" i="3"/>
  <c r="H27" i="3" s="1"/>
  <c r="F28" i="3"/>
  <c r="H28" i="3" s="1"/>
  <c r="F29" i="3"/>
  <c r="H29" i="3" s="1"/>
  <c r="F30" i="3"/>
  <c r="H30" i="3" s="1"/>
  <c r="F31" i="3"/>
  <c r="H31" i="3" s="1"/>
  <c r="F32" i="3"/>
  <c r="H32" i="3" s="1"/>
  <c r="J46" i="1"/>
  <c r="F2" i="3"/>
  <c r="J34" i="3"/>
  <c r="H2" i="3" l="1"/>
  <c r="F34" i="3"/>
  <c r="H25" i="3"/>
  <c r="H34" i="3" l="1"/>
  <c r="D38" i="3" s="1"/>
  <c r="D39" i="3" s="1"/>
  <c r="H46" i="1"/>
  <c r="I3" i="3" l="1"/>
  <c r="I4" i="3"/>
  <c r="I5" i="3"/>
  <c r="K5" i="3" s="1"/>
  <c r="I8" i="3"/>
  <c r="I20" i="3"/>
  <c r="I32" i="3"/>
  <c r="K32" i="3" s="1"/>
  <c r="I9" i="3"/>
  <c r="K9" i="3" s="1"/>
  <c r="I21" i="3"/>
  <c r="I2" i="3"/>
  <c r="K2" i="3" s="1"/>
  <c r="I10" i="3"/>
  <c r="K10" i="3" s="1"/>
  <c r="I22" i="3"/>
  <c r="K22" i="3" s="1"/>
  <c r="I11" i="3"/>
  <c r="K11" i="3" s="1"/>
  <c r="I23" i="3"/>
  <c r="K23" i="3" s="1"/>
  <c r="I12" i="3"/>
  <c r="I24" i="3"/>
  <c r="I13" i="3"/>
  <c r="I25" i="3"/>
  <c r="I14" i="3"/>
  <c r="I26" i="3"/>
  <c r="I15" i="3"/>
  <c r="I27" i="3"/>
  <c r="I16" i="3"/>
  <c r="I28" i="3"/>
  <c r="K28" i="3" s="1"/>
  <c r="I17" i="3"/>
  <c r="K17" i="3" s="1"/>
  <c r="I29" i="3"/>
  <c r="K29" i="3" s="1"/>
  <c r="I6" i="3"/>
  <c r="I18" i="3"/>
  <c r="I30" i="3"/>
  <c r="I7" i="3"/>
  <c r="K7" i="3" s="1"/>
  <c r="I19" i="3"/>
  <c r="I31" i="3"/>
  <c r="K6" i="3"/>
  <c r="K18" i="3"/>
  <c r="K30" i="3"/>
  <c r="K19" i="3"/>
  <c r="K31" i="3"/>
  <c r="K20" i="3"/>
  <c r="K24" i="3"/>
  <c r="K25" i="3"/>
  <c r="K26" i="3"/>
  <c r="K15" i="3"/>
  <c r="K27" i="3"/>
  <c r="K16" i="3"/>
  <c r="K8" i="3"/>
  <c r="K12" i="3"/>
  <c r="K13" i="3"/>
  <c r="K14" i="3"/>
  <c r="K3" i="3"/>
  <c r="K4" i="3"/>
  <c r="D50" i="1"/>
  <c r="D51" i="1" s="1"/>
  <c r="K34" i="3" l="1"/>
  <c r="I46" i="1"/>
</calcChain>
</file>

<file path=xl/sharedStrings.xml><?xml version="1.0" encoding="utf-8"?>
<sst xmlns="http://schemas.openxmlformats.org/spreadsheetml/2006/main" count="209" uniqueCount="106">
  <si>
    <t>CASA</t>
  </si>
  <si>
    <t>SANDRA JANNINA ARMIJOS BONILLA</t>
  </si>
  <si>
    <t>KAREN ROCIO BALERIANO ORTIZ</t>
  </si>
  <si>
    <t>LINA YOANA ARIAS GUAPIZ</t>
  </si>
  <si>
    <t>FELIX ASPRILLA IBARQUEN</t>
  </si>
  <si>
    <t>AUREA CASTILLO QUIÑONES</t>
  </si>
  <si>
    <t>CARLA GABRIELA ZAMORA VERA</t>
  </si>
  <si>
    <t>ANGIE TATIANA ANGULO</t>
  </si>
  <si>
    <t>YORLI ANGULO QUIÑONES</t>
  </si>
  <si>
    <t>MARITZA MORAN MANCILLA</t>
  </si>
  <si>
    <t>PAULA VANESSA CHALA OROBIO</t>
  </si>
  <si>
    <t>ADELFA CAMAYO DAGUA</t>
  </si>
  <si>
    <t>JESÚS MARTÍNEZ ARBODELA MANCILLA</t>
  </si>
  <si>
    <t>ENRIQUE FAVIAN ZAMORA LINARES</t>
  </si>
  <si>
    <t>BETY CAMAYO MARTINEZ</t>
  </si>
  <si>
    <t xml:space="preserve">RAFAELA ROMERO OBREGON </t>
  </si>
  <si>
    <t>DAYANA MONTENEGRO ALDANA</t>
  </si>
  <si>
    <t>JOSÉ BERNARDO PULIDO CASTRILLÓN</t>
  </si>
  <si>
    <t>NILSON CUAMA VICTORIA</t>
  </si>
  <si>
    <t>RICARDO ANDRES BELTRAN DUQUE</t>
  </si>
  <si>
    <t>EDWIN FELIPE CORREA</t>
  </si>
  <si>
    <t>OFICINA</t>
  </si>
  <si>
    <t>WALTER ARTURO DÍAZ ROJAS</t>
  </si>
  <si>
    <t>LEIDY TATIANA DUARTE DÍAZ</t>
  </si>
  <si>
    <t>JOEL LUCIO CARTAGENA TIRINA</t>
  </si>
  <si>
    <t>MARTA TABORDA GONZALEZ</t>
  </si>
  <si>
    <t>YHAMILED GONZALEZ PARRA</t>
  </si>
  <si>
    <t>BERNARDINA ESPINOZA VELAZQUEZ</t>
  </si>
  <si>
    <t>GARITA</t>
  </si>
  <si>
    <t>SALA DE BASURA</t>
  </si>
  <si>
    <t>LECTURA ACTUAL</t>
  </si>
  <si>
    <t>NOMBRE DEL TITULAR DE LA VIVIENDA</t>
  </si>
  <si>
    <t xml:space="preserve">MOHAMMED SABRA </t>
  </si>
  <si>
    <t>ROSA DE LA CRUZ</t>
  </si>
  <si>
    <t>HILDA RAMIREZ</t>
  </si>
  <si>
    <t xml:space="preserve">LECTURA ANTERIOR </t>
  </si>
  <si>
    <t>REMARCARDOR PRINCIPAL</t>
  </si>
  <si>
    <t>PAULA SERNA CASSOS</t>
  </si>
  <si>
    <t>CONSUMO DE AGUA M3</t>
  </si>
  <si>
    <t>VALOR DE M3</t>
  </si>
  <si>
    <t>SUBTOTAL</t>
  </si>
  <si>
    <t>CONSUMO GENERAL</t>
  </si>
  <si>
    <t>GASTO COMUN</t>
  </si>
  <si>
    <t>LEIDY APONTE ROMÁN</t>
  </si>
  <si>
    <t>CARGO FIJO</t>
  </si>
  <si>
    <t>SUB TOTAL</t>
  </si>
  <si>
    <t>DIFERENCIA SUBTOTAL Y BOLETA</t>
  </si>
  <si>
    <t>CARGO CONSUMO GENERAL</t>
  </si>
  <si>
    <t>N° REMARCADOR</t>
  </si>
  <si>
    <t>DARYOLI MARBELLA MALAVE SANDOVAL</t>
  </si>
  <si>
    <t>REMARCADOR II ETAPA</t>
  </si>
  <si>
    <t>SEDE</t>
  </si>
  <si>
    <t>TERESA NICOL CABALLERO VARGAS</t>
  </si>
  <si>
    <t>CARMEN ROSA ESPINOZA VEDIA</t>
  </si>
  <si>
    <t>SAMUEL SAIGUA PUMA</t>
  </si>
  <si>
    <t>CLAUDIA PAMELA SILVERA MAMANI</t>
  </si>
  <si>
    <t>GUILLERMO YUPARI QUISPE</t>
  </si>
  <si>
    <t>YOVANY ALEXANDER GODOY GRANDA</t>
  </si>
  <si>
    <t>LUZ PATRICIA CASTAÑEDA ACEVEDO</t>
  </si>
  <si>
    <t>LUZ STELLA ENRIQUEZ VELEZ</t>
  </si>
  <si>
    <t>MARIA GIOVANNA LOPEZ  VILLARROEL</t>
  </si>
  <si>
    <t>VERONICA ANA MENACHO SOSA</t>
  </si>
  <si>
    <t>GABRIEL CANAVIRI UMIRI</t>
  </si>
  <si>
    <t>GUSTAVO ENRIQUE ARAOS VILCHES</t>
  </si>
  <si>
    <t>ENILDA ANTINOPAY</t>
  </si>
  <si>
    <t>ANA YOLANDA PERLAZA ORTIZ</t>
  </si>
  <si>
    <t>CARLA YANIRA FIGUEROA ALARCON</t>
  </si>
  <si>
    <t>ALBERTO ANGULO GARCES</t>
  </si>
  <si>
    <t>MATILDE LERMA MANSILLA</t>
  </si>
  <si>
    <t>PACIFICA LERMA MANCILLA</t>
  </si>
  <si>
    <t>MARIA LESLY ACOSTA EUSE</t>
  </si>
  <si>
    <t>GETRUDES FELIPE GUTIERREZ</t>
  </si>
  <si>
    <t>YENNY MARIA ORDOÑEZ BECERRA</t>
  </si>
  <si>
    <t>ADENSON ALESANDER PAZ</t>
  </si>
  <si>
    <t>WASHINTON SANCHEZ RIOJO</t>
  </si>
  <si>
    <t>MIGUEL ANGEL LERMA MANCILLA</t>
  </si>
  <si>
    <t>SANTOS FERMÍN GODOY TENORIO</t>
  </si>
  <si>
    <t>SILVANA CAMACHO VENEGAS</t>
  </si>
  <si>
    <t>EPIFANIA FERNANDEZ ORTEGA</t>
  </si>
  <si>
    <t>EDGAR ROQUE CRUZ</t>
  </si>
  <si>
    <t>NAHIR HUMAZA MASCAYA</t>
  </si>
  <si>
    <t>EMILIANA TORREJÓN CONDORI</t>
  </si>
  <si>
    <t>JHOVANNA MAMANI VECERRA</t>
  </si>
  <si>
    <t>DANIEL PINO NOVA</t>
  </si>
  <si>
    <t>ANA ACHU</t>
  </si>
  <si>
    <t>REMUNDA SANCHEZ MARTINEZ</t>
  </si>
  <si>
    <t>NQS25202306733522</t>
  </si>
  <si>
    <t>Acuerda con el Comité de adelanto y desarrollo pagar los 30</t>
  </si>
  <si>
    <t>EULALIA FLORES YANCACHAJLLA</t>
  </si>
  <si>
    <t xml:space="preserve"> </t>
  </si>
  <si>
    <t>SN05853737</t>
  </si>
  <si>
    <t xml:space="preserve">CONSUMO PUNTA </t>
  </si>
  <si>
    <t>TOTAL MAYO</t>
  </si>
  <si>
    <t>CASA DESOCUPADA</t>
  </si>
  <si>
    <t>MARITZA ALVAREZ</t>
  </si>
  <si>
    <t>Pagan $2.163 menos</t>
  </si>
  <si>
    <t>SOLICITA PLAZO PARA PAGAR EL 15 DE AGOSTO POR CESANTÍA</t>
  </si>
  <si>
    <t>BRENDA MENACHO</t>
  </si>
  <si>
    <t>Plazo primera cuota 25 de julio - primera cuota pagada</t>
  </si>
  <si>
    <t>PLAZO PARA PAGAR LOS 15</t>
  </si>
  <si>
    <t>CONSUMO 329 M3</t>
  </si>
  <si>
    <t>CONSUMO 249 M3</t>
  </si>
  <si>
    <t>TIENE SALDO A FAVOR DE  $30.748</t>
  </si>
  <si>
    <t>GASTOS COMUNES PAGADOS HASTA NOVIEMBRE</t>
  </si>
  <si>
    <t>INFORME SOCIAL - NO PAGA GASTO COMÚN</t>
  </si>
  <si>
    <t>TOTAL A PAGAR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</si>
</sst>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&quot;$&quot;* #,##0_ ;_ &quot;$&quot;* \-#,##0_ ;_ &quot;$&quot;* &quot;-&quot;_ ;_ @_ 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sz val="8"/>
      <name val="Calibri"/>
      <family val="2"/>
      <scheme val="minor"/>
    </font>
    <font>
      <sz val="12"/>
      <name val="Arial Narrow"/>
      <family val="2"/>
    </font>
    <font>
      <b/>
      <sz val="12"/>
      <name val="Arial Narrow"/>
      <family val="2"/>
    </font>
    <font>
      <b/>
      <sz val="12"/>
      <color rgb="FFFF0000"/>
      <name val="Calibri"/>
      <family val="2"/>
      <scheme val="minor"/>
    </font>
    <font>
      <b/>
      <sz val="12"/>
      <color rgb="FFFF0000"/>
      <name val="Arial Narrow"/>
      <family val="2"/>
    </font>
    <font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9">
    <xf numFmtId="0" fontId="0" fillId="0" borderId="0" xfId="0"/>
    <xf numFmtId="164" fontId="4" fillId="0" borderId="1" xfId="1" applyFont="1" applyFill="1" applyBorder="1" applyAlignment="1">
      <alignment horizontal="center" vertical="center" wrapText="1"/>
    </xf>
    <xf numFmtId="164" fontId="3" fillId="0" borderId="0" xfId="1" applyFont="1" applyFill="1" applyBorder="1" applyAlignment="1">
      <alignment horizontal="center" vertical="center"/>
    </xf>
    <xf numFmtId="0" fontId="3" fillId="0" borderId="1" xfId="1" applyNumberFormat="1" applyFont="1" applyFill="1" applyBorder="1" applyAlignment="1">
      <alignment horizontal="left" vertical="center"/>
    </xf>
    <xf numFmtId="164" fontId="3" fillId="0" borderId="1" xfId="1" applyFont="1" applyFill="1" applyBorder="1" applyAlignment="1">
      <alignment horizontal="left" vertical="center"/>
    </xf>
    <xf numFmtId="0" fontId="4" fillId="0" borderId="1" xfId="1" applyNumberFormat="1" applyFont="1" applyFill="1" applyBorder="1" applyAlignment="1">
      <alignment horizontal="left" vertical="center"/>
    </xf>
    <xf numFmtId="164" fontId="3" fillId="0" borderId="0" xfId="1" applyFont="1" applyFill="1" applyBorder="1" applyAlignment="1">
      <alignment horizontal="left" vertical="center"/>
    </xf>
    <xf numFmtId="164" fontId="4" fillId="0" borderId="0" xfId="1" applyFont="1" applyFill="1" applyAlignment="1">
      <alignment horizontal="left" vertical="center"/>
    </xf>
    <xf numFmtId="164" fontId="3" fillId="0" borderId="0" xfId="1" applyFont="1" applyFill="1" applyAlignment="1">
      <alignment horizontal="left" vertical="center"/>
    </xf>
    <xf numFmtId="0" fontId="3" fillId="0" borderId="1" xfId="1" applyNumberFormat="1" applyFont="1" applyFill="1" applyBorder="1" applyAlignment="1">
      <alignment horizontal="center" vertical="center"/>
    </xf>
    <xf numFmtId="164" fontId="3" fillId="0" borderId="1" xfId="1" applyFont="1" applyFill="1" applyBorder="1" applyAlignment="1">
      <alignment horizontal="center" vertical="center"/>
    </xf>
    <xf numFmtId="164" fontId="3" fillId="0" borderId="0" xfId="1" applyFont="1" applyFill="1" applyAlignment="1">
      <alignment horizontal="center" vertical="center"/>
    </xf>
    <xf numFmtId="164" fontId="4" fillId="0" borderId="0" xfId="1" applyFont="1" applyFill="1" applyBorder="1" applyAlignment="1">
      <alignment horizontal="center" vertical="center"/>
    </xf>
    <xf numFmtId="164" fontId="8" fillId="0" borderId="0" xfId="1" applyFont="1" applyFill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4" fillId="0" borderId="1" xfId="1" applyNumberFormat="1" applyFont="1" applyFill="1" applyBorder="1" applyAlignment="1">
      <alignment horizontal="center" vertical="center"/>
    </xf>
    <xf numFmtId="164" fontId="4" fillId="0" borderId="1" xfId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  <xf numFmtId="0" fontId="8" fillId="0" borderId="1" xfId="1" applyNumberFormat="1" applyFont="1" applyFill="1" applyBorder="1" applyAlignment="1">
      <alignment horizontal="center" vertical="center"/>
    </xf>
    <xf numFmtId="164" fontId="8" fillId="0" borderId="1" xfId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164" fontId="0" fillId="0" borderId="0" xfId="0" applyNumberFormat="1"/>
  </cellXfs>
  <cellStyles count="3">
    <cellStyle name="Moneda [0]" xfId="1" builtinId="7"/>
    <cellStyle name="Moneda [0] 2" xfId="2" xr:uid="{61D0E1EE-4FE8-4EE0-923E-07753275C94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1AC2A27-2549-46DC-9171-F6096F92ACE4}">
  <we:reference id="wa200005271" version="2.5.5.0" store="es-ES" storeType="OMEX"/>
  <we:alternateReferences>
    <we:reference id="WA200005271" version="2.5.5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CC927DD-13EE-4A2D-B28B-56E3BF4F3C02}">
  <we:reference id="wa200006009" version="2.1.0.10" store="es-ES" storeType="OMEX"/>
  <we:alternateReferences>
    <we:reference id="WA200006009" version="2.1.0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9"/>
  <sheetViews>
    <sheetView showGridLines="0" showRuler="0" zoomScale="70" zoomScaleNormal="70" zoomScaleSheetLayoutView="80" zoomScalePageLayoutView="136" workbookViewId="0">
      <pane ySplit="1" topLeftCell="A19" activePane="bottomLeft" state="frozen"/>
      <selection pane="bottomLeft" activeCell="K44" sqref="A24:K44"/>
    </sheetView>
  </sheetViews>
  <sheetFormatPr baseColWidth="10" defaultColWidth="14.44140625" defaultRowHeight="51" customHeight="1" x14ac:dyDescent="0.3"/>
  <cols>
    <col min="1" max="1" width="7.77734375" style="17" customWidth="1"/>
    <col min="2" max="2" width="37.5546875" style="23" bestFit="1" customWidth="1"/>
    <col min="3" max="3" width="17" style="17" customWidth="1"/>
    <col min="4" max="4" width="14.88671875" style="21" customWidth="1"/>
    <col min="5" max="5" width="11.77734375" style="17" customWidth="1"/>
    <col min="6" max="6" width="17.33203125" style="17" customWidth="1"/>
    <col min="7" max="7" width="11.21875" style="17" bestFit="1" customWidth="1"/>
    <col min="8" max="8" width="13.88671875" style="17" bestFit="1" customWidth="1"/>
    <col min="9" max="9" width="14.44140625" style="17"/>
    <col min="10" max="10" width="11.109375" style="11" bestFit="1" customWidth="1"/>
    <col min="11" max="11" width="15.5546875" style="11" bestFit="1" customWidth="1"/>
    <col min="12" max="12" width="14.44140625" style="13"/>
    <col min="13" max="16384" width="14.44140625" style="17"/>
  </cols>
  <sheetData>
    <row r="1" spans="1:17" ht="51" customHeight="1" x14ac:dyDescent="0.3">
      <c r="A1" s="14" t="s">
        <v>0</v>
      </c>
      <c r="B1" s="14" t="s">
        <v>31</v>
      </c>
      <c r="C1" s="15" t="s">
        <v>48</v>
      </c>
      <c r="D1" s="14" t="s">
        <v>35</v>
      </c>
      <c r="E1" s="14" t="s">
        <v>30</v>
      </c>
      <c r="F1" s="14" t="s">
        <v>38</v>
      </c>
      <c r="G1" s="14" t="s">
        <v>39</v>
      </c>
      <c r="H1" s="16" t="s">
        <v>40</v>
      </c>
      <c r="I1" s="14" t="s">
        <v>41</v>
      </c>
      <c r="J1" s="1" t="s">
        <v>42</v>
      </c>
      <c r="K1" s="1" t="s">
        <v>105</v>
      </c>
    </row>
    <row r="2" spans="1:17" ht="51" customHeight="1" x14ac:dyDescent="0.3">
      <c r="A2" s="16">
        <v>1</v>
      </c>
      <c r="B2" s="18" t="s">
        <v>1</v>
      </c>
      <c r="C2" s="19">
        <v>106122</v>
      </c>
      <c r="D2" s="20">
        <v>185.108</v>
      </c>
      <c r="E2" s="20">
        <v>198.23</v>
      </c>
      <c r="F2" s="20">
        <f t="shared" ref="F2:F44" si="0">E2-D2</f>
        <v>13.121999999999986</v>
      </c>
      <c r="G2" s="20">
        <v>2197.4</v>
      </c>
      <c r="H2" s="9">
        <f t="shared" ref="H2:H44" si="1">F2*G2</f>
        <v>28834.282799999968</v>
      </c>
      <c r="I2" s="10">
        <f>$D$51</f>
        <v>809.26773000000105</v>
      </c>
      <c r="J2" s="10">
        <v>7000</v>
      </c>
      <c r="K2" s="10">
        <f>H2+I2+J2</f>
        <v>36643.550529999964</v>
      </c>
    </row>
    <row r="3" spans="1:17" ht="51" customHeight="1" x14ac:dyDescent="0.3">
      <c r="A3" s="16">
        <v>2</v>
      </c>
      <c r="B3" s="18" t="s">
        <v>2</v>
      </c>
      <c r="C3" s="19">
        <v>106124</v>
      </c>
      <c r="D3" s="20">
        <v>40.438000000000002</v>
      </c>
      <c r="E3" s="20">
        <v>43.276000000000003</v>
      </c>
      <c r="F3" s="20">
        <f t="shared" si="0"/>
        <v>2.838000000000001</v>
      </c>
      <c r="G3" s="20">
        <v>2197.4</v>
      </c>
      <c r="H3" s="9">
        <f t="shared" si="1"/>
        <v>6236.2212000000027</v>
      </c>
      <c r="I3" s="10">
        <f t="shared" ref="I3:I42" si="2">$D$51</f>
        <v>809.26773000000105</v>
      </c>
      <c r="J3" s="10">
        <v>7000</v>
      </c>
      <c r="K3" s="10">
        <f t="shared" ref="K3:K45" si="3">H3+I3+J3</f>
        <v>14045.488930000003</v>
      </c>
      <c r="M3" s="11"/>
    </row>
    <row r="4" spans="1:17" ht="51" customHeight="1" x14ac:dyDescent="0.3">
      <c r="A4" s="16">
        <v>3</v>
      </c>
      <c r="B4" s="18" t="s">
        <v>3</v>
      </c>
      <c r="C4" s="19">
        <v>106126</v>
      </c>
      <c r="D4" s="20">
        <v>45.893000000000001</v>
      </c>
      <c r="E4" s="20">
        <v>51.119</v>
      </c>
      <c r="F4" s="20">
        <f t="shared" si="0"/>
        <v>5.2259999999999991</v>
      </c>
      <c r="G4" s="20">
        <v>2197.4</v>
      </c>
      <c r="H4" s="9">
        <f t="shared" si="1"/>
        <v>11483.612399999998</v>
      </c>
      <c r="I4" s="10">
        <f t="shared" si="2"/>
        <v>809.26773000000105</v>
      </c>
      <c r="J4" s="10">
        <v>7000</v>
      </c>
      <c r="K4" s="10">
        <f t="shared" si="3"/>
        <v>19292.880129999998</v>
      </c>
      <c r="L4" s="13" t="s">
        <v>89</v>
      </c>
    </row>
    <row r="5" spans="1:17" ht="51" customHeight="1" x14ac:dyDescent="0.3">
      <c r="A5" s="16">
        <v>7</v>
      </c>
      <c r="B5" s="18" t="s">
        <v>4</v>
      </c>
      <c r="C5" s="19">
        <v>106132</v>
      </c>
      <c r="D5" s="20">
        <v>50.991</v>
      </c>
      <c r="E5" s="20">
        <v>56.353999999999999</v>
      </c>
      <c r="F5" s="20">
        <f t="shared" si="0"/>
        <v>5.3629999999999995</v>
      </c>
      <c r="G5" s="20">
        <v>2197.4</v>
      </c>
      <c r="H5" s="9">
        <f t="shared" si="1"/>
        <v>11784.656199999999</v>
      </c>
      <c r="I5" s="10">
        <f t="shared" si="2"/>
        <v>809.26773000000105</v>
      </c>
      <c r="J5" s="10">
        <v>7000</v>
      </c>
      <c r="K5" s="10">
        <f t="shared" si="3"/>
        <v>19593.923930000001</v>
      </c>
    </row>
    <row r="6" spans="1:17" ht="51" customHeight="1" x14ac:dyDescent="0.3">
      <c r="A6" s="16">
        <v>10</v>
      </c>
      <c r="B6" s="18" t="s">
        <v>5</v>
      </c>
      <c r="C6" s="19">
        <v>106224</v>
      </c>
      <c r="D6" s="20">
        <v>161.33099999999999</v>
      </c>
      <c r="E6" s="20">
        <v>175.02199999999999</v>
      </c>
      <c r="F6" s="20">
        <f t="shared" si="0"/>
        <v>13.691000000000003</v>
      </c>
      <c r="G6" s="20">
        <v>2197.4</v>
      </c>
      <c r="H6" s="9">
        <f t="shared" si="1"/>
        <v>30084.603400000007</v>
      </c>
      <c r="I6" s="10">
        <f t="shared" si="2"/>
        <v>809.26773000000105</v>
      </c>
      <c r="J6" s="10">
        <v>7000</v>
      </c>
      <c r="K6" s="10">
        <f t="shared" si="3"/>
        <v>37893.871130000007</v>
      </c>
    </row>
    <row r="7" spans="1:17" ht="51" customHeight="1" x14ac:dyDescent="0.3">
      <c r="A7" s="16">
        <v>11</v>
      </c>
      <c r="B7" s="18" t="s">
        <v>6</v>
      </c>
      <c r="C7" s="19">
        <v>104750</v>
      </c>
      <c r="D7" s="20">
        <v>206.42</v>
      </c>
      <c r="E7" s="20">
        <v>231.511</v>
      </c>
      <c r="F7" s="20">
        <f t="shared" si="0"/>
        <v>25.091000000000008</v>
      </c>
      <c r="G7" s="20">
        <v>2197.4</v>
      </c>
      <c r="H7" s="9">
        <f t="shared" si="1"/>
        <v>55134.963400000022</v>
      </c>
      <c r="I7" s="10">
        <f t="shared" si="2"/>
        <v>809.26773000000105</v>
      </c>
      <c r="J7" s="10">
        <v>7000</v>
      </c>
      <c r="K7" s="10">
        <f t="shared" si="3"/>
        <v>62944.231130000022</v>
      </c>
      <c r="L7" s="13" t="s">
        <v>98</v>
      </c>
    </row>
    <row r="8" spans="1:17" ht="51" customHeight="1" x14ac:dyDescent="0.3">
      <c r="A8" s="16">
        <v>12</v>
      </c>
      <c r="B8" s="18" t="s">
        <v>7</v>
      </c>
      <c r="C8" s="19">
        <v>104761</v>
      </c>
      <c r="D8" s="20">
        <v>10.555999999999999</v>
      </c>
      <c r="E8" s="20">
        <v>15.74</v>
      </c>
      <c r="F8" s="20">
        <f t="shared" si="0"/>
        <v>5.1840000000000011</v>
      </c>
      <c r="G8" s="20">
        <v>2197.4</v>
      </c>
      <c r="H8" s="9">
        <f t="shared" si="1"/>
        <v>11391.321600000003</v>
      </c>
      <c r="I8" s="10">
        <f t="shared" si="2"/>
        <v>809.26773000000105</v>
      </c>
      <c r="J8" s="10">
        <v>7000</v>
      </c>
      <c r="K8" s="10">
        <f t="shared" si="3"/>
        <v>19200.589330000003</v>
      </c>
    </row>
    <row r="9" spans="1:17" ht="51" customHeight="1" x14ac:dyDescent="0.3">
      <c r="A9" s="16">
        <v>13</v>
      </c>
      <c r="B9" s="18" t="s">
        <v>8</v>
      </c>
      <c r="C9" s="19">
        <v>106226</v>
      </c>
      <c r="D9" s="20">
        <v>72.816000000000003</v>
      </c>
      <c r="E9" s="20">
        <v>83.41</v>
      </c>
      <c r="F9" s="20">
        <f t="shared" si="0"/>
        <v>10.593999999999994</v>
      </c>
      <c r="G9" s="20">
        <v>2197.4</v>
      </c>
      <c r="H9" s="9">
        <f t="shared" si="1"/>
        <v>23279.255599999989</v>
      </c>
      <c r="I9" s="10">
        <f t="shared" si="2"/>
        <v>809.26773000000105</v>
      </c>
      <c r="J9" s="10">
        <v>7000</v>
      </c>
      <c r="K9" s="10">
        <f t="shared" si="3"/>
        <v>31088.523329999989</v>
      </c>
    </row>
    <row r="10" spans="1:17" ht="51" customHeight="1" x14ac:dyDescent="0.3">
      <c r="A10" s="16">
        <v>14</v>
      </c>
      <c r="B10" s="18" t="s">
        <v>9</v>
      </c>
      <c r="C10" s="19">
        <v>104746</v>
      </c>
      <c r="D10" s="20">
        <v>74.055999999999997</v>
      </c>
      <c r="E10" s="20">
        <v>81.578000000000003</v>
      </c>
      <c r="F10" s="20">
        <f t="shared" si="0"/>
        <v>7.5220000000000056</v>
      </c>
      <c r="G10" s="20">
        <v>2197.4</v>
      </c>
      <c r="H10" s="9">
        <f t="shared" si="1"/>
        <v>16528.842800000013</v>
      </c>
      <c r="I10" s="10">
        <f t="shared" si="2"/>
        <v>809.26773000000105</v>
      </c>
      <c r="J10" s="10">
        <v>9163</v>
      </c>
      <c r="K10" s="10">
        <f t="shared" si="3"/>
        <v>26501.110530000013</v>
      </c>
      <c r="L10" s="13" t="s">
        <v>95</v>
      </c>
    </row>
    <row r="11" spans="1:17" ht="51" customHeight="1" x14ac:dyDescent="0.3">
      <c r="A11" s="16">
        <v>15</v>
      </c>
      <c r="B11" s="18" t="s">
        <v>10</v>
      </c>
      <c r="C11" s="19">
        <v>104744</v>
      </c>
      <c r="D11" s="20">
        <v>60.896999999999998</v>
      </c>
      <c r="E11" s="20">
        <v>68.769000000000005</v>
      </c>
      <c r="F11" s="20">
        <f t="shared" si="0"/>
        <v>7.872000000000007</v>
      </c>
      <c r="G11" s="20">
        <v>2197.4</v>
      </c>
      <c r="H11" s="9">
        <f t="shared" si="1"/>
        <v>17297.932800000017</v>
      </c>
      <c r="I11" s="10">
        <f t="shared" si="2"/>
        <v>809.26773000000105</v>
      </c>
      <c r="J11" s="10">
        <v>7000</v>
      </c>
      <c r="K11" s="10">
        <f t="shared" si="3"/>
        <v>25107.200530000016</v>
      </c>
      <c r="L11" s="13" t="s">
        <v>96</v>
      </c>
      <c r="Q11" s="11"/>
    </row>
    <row r="12" spans="1:17" ht="51" customHeight="1" x14ac:dyDescent="0.3">
      <c r="A12" s="16">
        <v>16</v>
      </c>
      <c r="B12" s="18" t="s">
        <v>11</v>
      </c>
      <c r="C12" s="19">
        <v>104747</v>
      </c>
      <c r="D12" s="20">
        <v>129.29</v>
      </c>
      <c r="E12" s="20">
        <v>143.185</v>
      </c>
      <c r="F12" s="20">
        <f t="shared" si="0"/>
        <v>13.89500000000001</v>
      </c>
      <c r="G12" s="20">
        <v>2197.4</v>
      </c>
      <c r="H12" s="9">
        <f t="shared" si="1"/>
        <v>30532.873000000025</v>
      </c>
      <c r="I12" s="10">
        <f t="shared" si="2"/>
        <v>809.26773000000105</v>
      </c>
      <c r="J12" s="10">
        <v>7000</v>
      </c>
      <c r="K12" s="10">
        <f t="shared" si="3"/>
        <v>38342.140730000028</v>
      </c>
    </row>
    <row r="13" spans="1:17" ht="51" customHeight="1" x14ac:dyDescent="0.3">
      <c r="A13" s="16">
        <v>17</v>
      </c>
      <c r="B13" s="18" t="s">
        <v>12</v>
      </c>
      <c r="C13" s="19">
        <v>104748</v>
      </c>
      <c r="D13" s="20">
        <v>25.122</v>
      </c>
      <c r="E13" s="20">
        <v>27.831</v>
      </c>
      <c r="F13" s="20">
        <f t="shared" si="0"/>
        <v>2.7089999999999996</v>
      </c>
      <c r="G13" s="20">
        <v>2197.4</v>
      </c>
      <c r="H13" s="9">
        <f t="shared" si="1"/>
        <v>5952.7565999999997</v>
      </c>
      <c r="I13" s="10">
        <f t="shared" si="2"/>
        <v>809.26773000000105</v>
      </c>
      <c r="J13" s="10">
        <v>7000</v>
      </c>
      <c r="K13" s="10">
        <f t="shared" si="3"/>
        <v>13762.02433</v>
      </c>
    </row>
    <row r="14" spans="1:17" ht="51" customHeight="1" x14ac:dyDescent="0.3">
      <c r="A14" s="16">
        <v>18</v>
      </c>
      <c r="B14" s="18" t="s">
        <v>49</v>
      </c>
      <c r="C14" s="19">
        <v>104770</v>
      </c>
      <c r="D14" s="20">
        <v>65.084999999999994</v>
      </c>
      <c r="E14" s="20">
        <v>76.149000000000001</v>
      </c>
      <c r="F14" s="20">
        <f t="shared" si="0"/>
        <v>11.064000000000007</v>
      </c>
      <c r="G14" s="20">
        <v>2197.4</v>
      </c>
      <c r="H14" s="9">
        <f t="shared" si="1"/>
        <v>24312.033600000017</v>
      </c>
      <c r="I14" s="10">
        <f t="shared" si="2"/>
        <v>809.26773000000105</v>
      </c>
      <c r="J14" s="10">
        <v>7000</v>
      </c>
      <c r="K14" s="10">
        <f t="shared" si="3"/>
        <v>32121.301330000017</v>
      </c>
    </row>
    <row r="15" spans="1:17" ht="51" customHeight="1" x14ac:dyDescent="0.3">
      <c r="A15" s="16">
        <v>19</v>
      </c>
      <c r="B15" s="18" t="s">
        <v>13</v>
      </c>
      <c r="C15" s="19">
        <v>104741</v>
      </c>
      <c r="D15" s="20">
        <v>23.498999999999999</v>
      </c>
      <c r="E15" s="20">
        <v>28.012</v>
      </c>
      <c r="F15" s="20">
        <f t="shared" si="0"/>
        <v>4.5130000000000017</v>
      </c>
      <c r="G15" s="20">
        <v>2197.4</v>
      </c>
      <c r="H15" s="9">
        <f t="shared" si="1"/>
        <v>9916.866200000004</v>
      </c>
      <c r="I15" s="10">
        <f t="shared" si="2"/>
        <v>809.26773000000105</v>
      </c>
      <c r="J15" s="10">
        <v>7000</v>
      </c>
      <c r="K15" s="10">
        <f t="shared" si="3"/>
        <v>17726.133930000004</v>
      </c>
    </row>
    <row r="16" spans="1:17" ht="51" customHeight="1" x14ac:dyDescent="0.3">
      <c r="A16" s="16">
        <v>20</v>
      </c>
      <c r="B16" s="18" t="s">
        <v>14</v>
      </c>
      <c r="C16" s="19">
        <v>106223</v>
      </c>
      <c r="D16" s="20">
        <v>42.255000000000003</v>
      </c>
      <c r="E16" s="20">
        <v>45.942</v>
      </c>
      <c r="F16" s="20">
        <f t="shared" si="0"/>
        <v>3.6869999999999976</v>
      </c>
      <c r="G16" s="20">
        <v>2197.4</v>
      </c>
      <c r="H16" s="9">
        <f t="shared" si="1"/>
        <v>8101.8137999999954</v>
      </c>
      <c r="I16" s="10">
        <f t="shared" si="2"/>
        <v>809.26773000000105</v>
      </c>
      <c r="J16" s="10">
        <v>7000</v>
      </c>
      <c r="K16" s="10">
        <f t="shared" si="3"/>
        <v>15911.081529999996</v>
      </c>
    </row>
    <row r="17" spans="1:12" ht="51" customHeight="1" x14ac:dyDescent="0.3">
      <c r="A17" s="16">
        <v>21</v>
      </c>
      <c r="B17" s="18" t="s">
        <v>15</v>
      </c>
      <c r="C17" s="19">
        <v>106230</v>
      </c>
      <c r="D17" s="20">
        <v>18.419</v>
      </c>
      <c r="E17" s="20">
        <v>21.382000000000001</v>
      </c>
      <c r="F17" s="20">
        <f t="shared" si="0"/>
        <v>2.963000000000001</v>
      </c>
      <c r="G17" s="20">
        <v>2197.4</v>
      </c>
      <c r="H17" s="9">
        <f t="shared" si="1"/>
        <v>6510.896200000002</v>
      </c>
      <c r="I17" s="10">
        <f t="shared" si="2"/>
        <v>809.26773000000105</v>
      </c>
      <c r="J17" s="10">
        <v>7000</v>
      </c>
      <c r="K17" s="10">
        <f t="shared" si="3"/>
        <v>14320.163930000002</v>
      </c>
    </row>
    <row r="18" spans="1:12" ht="51" customHeight="1" x14ac:dyDescent="0.3">
      <c r="A18" s="16">
        <v>22</v>
      </c>
      <c r="B18" s="18" t="s">
        <v>16</v>
      </c>
      <c r="C18" s="19">
        <v>106136</v>
      </c>
      <c r="D18" s="20">
        <v>18.791</v>
      </c>
      <c r="E18" s="20">
        <v>20.297999999999998</v>
      </c>
      <c r="F18" s="20">
        <f t="shared" si="0"/>
        <v>1.5069999999999979</v>
      </c>
      <c r="G18" s="20">
        <v>2197.4</v>
      </c>
      <c r="H18" s="9">
        <f t="shared" si="1"/>
        <v>3311.4817999999955</v>
      </c>
      <c r="I18" s="10">
        <f t="shared" si="2"/>
        <v>809.26773000000105</v>
      </c>
      <c r="J18" s="10">
        <v>7000</v>
      </c>
      <c r="K18" s="10">
        <f t="shared" si="3"/>
        <v>11120.749529999997</v>
      </c>
    </row>
    <row r="19" spans="1:12" s="46" customFormat="1" ht="51" customHeight="1" x14ac:dyDescent="0.3">
      <c r="A19" s="41">
        <v>23</v>
      </c>
      <c r="B19" s="42" t="s">
        <v>93</v>
      </c>
      <c r="C19" s="43">
        <v>106225</v>
      </c>
      <c r="D19" s="41">
        <v>1.385</v>
      </c>
      <c r="E19" s="41">
        <v>1.385</v>
      </c>
      <c r="F19" s="41">
        <f t="shared" si="0"/>
        <v>0</v>
      </c>
      <c r="G19" s="41">
        <v>2197.4</v>
      </c>
      <c r="H19" s="44">
        <f t="shared" si="1"/>
        <v>0</v>
      </c>
      <c r="I19" s="10">
        <v>0</v>
      </c>
      <c r="J19" s="45">
        <v>0</v>
      </c>
      <c r="K19" s="45">
        <f t="shared" si="3"/>
        <v>0</v>
      </c>
      <c r="L19" s="13"/>
    </row>
    <row r="20" spans="1:12" ht="51" customHeight="1" x14ac:dyDescent="0.3">
      <c r="A20" s="16">
        <v>25</v>
      </c>
      <c r="B20" s="18" t="s">
        <v>17</v>
      </c>
      <c r="C20" s="19">
        <v>104745</v>
      </c>
      <c r="D20" s="20">
        <v>135.71199999999999</v>
      </c>
      <c r="E20" s="20">
        <v>154.40299999999999</v>
      </c>
      <c r="F20" s="20">
        <f t="shared" si="0"/>
        <v>18.691000000000003</v>
      </c>
      <c r="G20" s="20">
        <v>2197.4</v>
      </c>
      <c r="H20" s="9">
        <f t="shared" si="1"/>
        <v>41071.603400000007</v>
      </c>
      <c r="I20" s="10">
        <f t="shared" si="2"/>
        <v>809.26773000000105</v>
      </c>
      <c r="J20" s="10">
        <v>7000</v>
      </c>
      <c r="K20" s="10">
        <f t="shared" si="3"/>
        <v>48880.871130000007</v>
      </c>
    </row>
    <row r="21" spans="1:12" ht="51" customHeight="1" x14ac:dyDescent="0.3">
      <c r="A21" s="16">
        <v>26</v>
      </c>
      <c r="B21" s="18" t="s">
        <v>18</v>
      </c>
      <c r="C21" s="19">
        <v>104743</v>
      </c>
      <c r="D21" s="20">
        <v>115.661</v>
      </c>
      <c r="E21" s="20">
        <v>125.33199999999999</v>
      </c>
      <c r="F21" s="20">
        <f t="shared" si="0"/>
        <v>9.6709999999999923</v>
      </c>
      <c r="G21" s="20">
        <v>2197.4</v>
      </c>
      <c r="H21" s="9">
        <f t="shared" si="1"/>
        <v>21251.055399999983</v>
      </c>
      <c r="I21" s="10">
        <f t="shared" si="2"/>
        <v>809.26773000000105</v>
      </c>
      <c r="J21" s="10">
        <v>7000</v>
      </c>
      <c r="K21" s="10">
        <f t="shared" si="3"/>
        <v>29060.323129999982</v>
      </c>
    </row>
    <row r="22" spans="1:12" ht="51" customHeight="1" x14ac:dyDescent="0.3">
      <c r="A22" s="16">
        <v>27</v>
      </c>
      <c r="B22" s="18" t="s">
        <v>19</v>
      </c>
      <c r="C22" s="19">
        <v>104749</v>
      </c>
      <c r="D22" s="20">
        <v>56.557000000000002</v>
      </c>
      <c r="E22" s="20">
        <v>62.795000000000002</v>
      </c>
      <c r="F22" s="20">
        <f t="shared" si="0"/>
        <v>6.2379999999999995</v>
      </c>
      <c r="G22" s="20">
        <v>2197.4</v>
      </c>
      <c r="H22" s="9">
        <f t="shared" si="1"/>
        <v>13707.3812</v>
      </c>
      <c r="I22" s="10">
        <f t="shared" si="2"/>
        <v>809.26773000000105</v>
      </c>
      <c r="J22" s="10">
        <v>7000</v>
      </c>
      <c r="K22" s="10">
        <f t="shared" si="3"/>
        <v>21516.648930000003</v>
      </c>
    </row>
    <row r="23" spans="1:12" s="21" customFormat="1" ht="51" customHeight="1" x14ac:dyDescent="0.3">
      <c r="A23" s="16">
        <v>28</v>
      </c>
      <c r="B23" s="18" t="s">
        <v>20</v>
      </c>
      <c r="C23" s="19">
        <v>104742</v>
      </c>
      <c r="D23" s="20">
        <v>15.156000000000001</v>
      </c>
      <c r="E23" s="20">
        <v>21.227</v>
      </c>
      <c r="F23" s="20">
        <f t="shared" si="0"/>
        <v>6.0709999999999997</v>
      </c>
      <c r="G23" s="20">
        <v>2197.4</v>
      </c>
      <c r="H23" s="9">
        <f t="shared" si="1"/>
        <v>13340.4154</v>
      </c>
      <c r="I23" s="10">
        <f t="shared" si="2"/>
        <v>809.26773000000105</v>
      </c>
      <c r="J23" s="10">
        <v>7000</v>
      </c>
      <c r="K23" s="10">
        <f t="shared" si="3"/>
        <v>21149.683130000001</v>
      </c>
      <c r="L23" s="13"/>
    </row>
    <row r="24" spans="1:12" s="21" customFormat="1" ht="51" customHeight="1" x14ac:dyDescent="0.3">
      <c r="A24" s="16">
        <v>73</v>
      </c>
      <c r="B24" s="18" t="s">
        <v>32</v>
      </c>
      <c r="C24" s="19">
        <v>106221</v>
      </c>
      <c r="D24" s="20">
        <v>54.816000000000003</v>
      </c>
      <c r="E24" s="20">
        <v>62.326999999999998</v>
      </c>
      <c r="F24" s="20">
        <f t="shared" si="0"/>
        <v>7.5109999999999957</v>
      </c>
      <c r="G24" s="20">
        <v>2197.4</v>
      </c>
      <c r="H24" s="9">
        <f t="shared" si="1"/>
        <v>16504.671399999992</v>
      </c>
      <c r="I24" s="10">
        <f t="shared" si="2"/>
        <v>809.26773000000105</v>
      </c>
      <c r="J24" s="10">
        <v>7000</v>
      </c>
      <c r="K24" s="10">
        <f t="shared" si="3"/>
        <v>24313.939129999992</v>
      </c>
      <c r="L24" s="13"/>
    </row>
    <row r="25" spans="1:12" s="21" customFormat="1" ht="51" customHeight="1" x14ac:dyDescent="0.3">
      <c r="A25" s="16">
        <v>74</v>
      </c>
      <c r="B25" s="22" t="s">
        <v>82</v>
      </c>
      <c r="C25" s="19">
        <v>106229</v>
      </c>
      <c r="D25" s="20">
        <v>43.210999999999999</v>
      </c>
      <c r="E25" s="20">
        <v>48.554000000000002</v>
      </c>
      <c r="F25" s="20">
        <f t="shared" si="0"/>
        <v>5.3430000000000035</v>
      </c>
      <c r="G25" s="20">
        <v>2197.4</v>
      </c>
      <c r="H25" s="9">
        <f t="shared" si="1"/>
        <v>11740.708200000008</v>
      </c>
      <c r="I25" s="10">
        <f t="shared" si="2"/>
        <v>809.26773000000105</v>
      </c>
      <c r="J25" s="10">
        <v>7000</v>
      </c>
      <c r="K25" s="10">
        <f t="shared" si="3"/>
        <v>19549.975930000008</v>
      </c>
      <c r="L25" s="13"/>
    </row>
    <row r="26" spans="1:12" s="21" customFormat="1" ht="51" customHeight="1" x14ac:dyDescent="0.3">
      <c r="A26" s="16">
        <v>75</v>
      </c>
      <c r="B26" s="18" t="s">
        <v>97</v>
      </c>
      <c r="C26" s="19">
        <v>106135</v>
      </c>
      <c r="D26" s="20">
        <v>20.907</v>
      </c>
      <c r="E26" s="20">
        <v>31.036999999999999</v>
      </c>
      <c r="F26" s="20">
        <f t="shared" si="0"/>
        <v>10.129999999999999</v>
      </c>
      <c r="G26" s="20">
        <v>2197.4</v>
      </c>
      <c r="H26" s="9">
        <f t="shared" si="1"/>
        <v>22259.662</v>
      </c>
      <c r="I26" s="10">
        <f t="shared" si="2"/>
        <v>809.26773000000105</v>
      </c>
      <c r="J26" s="10">
        <v>0</v>
      </c>
      <c r="K26" s="10">
        <f t="shared" si="3"/>
        <v>23068.92973</v>
      </c>
      <c r="L26" s="28" t="s">
        <v>104</v>
      </c>
    </row>
    <row r="27" spans="1:12" s="21" customFormat="1" ht="51" customHeight="1" x14ac:dyDescent="0.3">
      <c r="A27" s="16">
        <v>76</v>
      </c>
      <c r="B27" s="18" t="s">
        <v>83</v>
      </c>
      <c r="C27" s="19">
        <v>106137</v>
      </c>
      <c r="D27" s="20">
        <v>12.813000000000001</v>
      </c>
      <c r="E27" s="20">
        <v>13.465999999999999</v>
      </c>
      <c r="F27" s="20">
        <f t="shared" si="0"/>
        <v>0.65299999999999869</v>
      </c>
      <c r="G27" s="20">
        <v>2197.4</v>
      </c>
      <c r="H27" s="9">
        <f t="shared" si="1"/>
        <v>1434.9021999999973</v>
      </c>
      <c r="I27" s="10">
        <f t="shared" si="2"/>
        <v>809.26773000000105</v>
      </c>
      <c r="J27" s="10">
        <v>7000</v>
      </c>
      <c r="K27" s="10">
        <f t="shared" si="3"/>
        <v>9244.1699299999982</v>
      </c>
      <c r="L27" s="13"/>
    </row>
    <row r="28" spans="1:12" s="21" customFormat="1" ht="51" customHeight="1" x14ac:dyDescent="0.3">
      <c r="A28" s="16">
        <v>77</v>
      </c>
      <c r="B28" s="22" t="s">
        <v>84</v>
      </c>
      <c r="C28" s="19">
        <v>106140</v>
      </c>
      <c r="D28" s="20">
        <v>67.191000000000003</v>
      </c>
      <c r="E28" s="20">
        <v>78.841999999999999</v>
      </c>
      <c r="F28" s="20">
        <f t="shared" si="0"/>
        <v>11.650999999999996</v>
      </c>
      <c r="G28" s="20">
        <v>2197.4</v>
      </c>
      <c r="H28" s="9">
        <f t="shared" si="1"/>
        <v>25601.907399999993</v>
      </c>
      <c r="I28" s="10">
        <f t="shared" si="2"/>
        <v>809.26773000000105</v>
      </c>
      <c r="J28" s="10">
        <v>7000</v>
      </c>
      <c r="K28" s="10">
        <f t="shared" si="3"/>
        <v>33411.175129999989</v>
      </c>
      <c r="L28" s="13"/>
    </row>
    <row r="29" spans="1:12" s="21" customFormat="1" ht="51" customHeight="1" x14ac:dyDescent="0.3">
      <c r="A29" s="16">
        <v>78</v>
      </c>
      <c r="B29" s="18" t="s">
        <v>85</v>
      </c>
      <c r="C29" s="19">
        <v>106228</v>
      </c>
      <c r="D29" s="20">
        <v>40.402000000000001</v>
      </c>
      <c r="E29" s="20">
        <v>44.695999999999998</v>
      </c>
      <c r="F29" s="20">
        <f t="shared" si="0"/>
        <v>4.2939999999999969</v>
      </c>
      <c r="G29" s="20">
        <v>2197.4</v>
      </c>
      <c r="H29" s="9">
        <f t="shared" si="1"/>
        <v>9435.6355999999942</v>
      </c>
      <c r="I29" s="10">
        <f t="shared" si="2"/>
        <v>809.26773000000105</v>
      </c>
      <c r="J29" s="10">
        <v>7000</v>
      </c>
      <c r="K29" s="10">
        <f t="shared" si="3"/>
        <v>17244.903329999994</v>
      </c>
      <c r="L29" s="13"/>
    </row>
    <row r="30" spans="1:12" s="21" customFormat="1" ht="51" customHeight="1" x14ac:dyDescent="0.3">
      <c r="A30" s="16">
        <v>79</v>
      </c>
      <c r="B30" s="22" t="s">
        <v>34</v>
      </c>
      <c r="C30" s="19">
        <v>106139</v>
      </c>
      <c r="D30" s="20">
        <v>52.49</v>
      </c>
      <c r="E30" s="20">
        <v>57.201000000000001</v>
      </c>
      <c r="F30" s="20">
        <f t="shared" si="0"/>
        <v>4.7109999999999985</v>
      </c>
      <c r="G30" s="20">
        <v>2197.4</v>
      </c>
      <c r="H30" s="9">
        <f t="shared" si="1"/>
        <v>10351.951399999996</v>
      </c>
      <c r="I30" s="10">
        <f t="shared" si="2"/>
        <v>809.26773000000105</v>
      </c>
      <c r="J30" s="10">
        <v>7000</v>
      </c>
      <c r="K30" s="10">
        <f t="shared" si="3"/>
        <v>18161.219129999998</v>
      </c>
      <c r="L30" s="13"/>
    </row>
    <row r="31" spans="1:12" s="21" customFormat="1" ht="51" customHeight="1" x14ac:dyDescent="0.3">
      <c r="A31" s="16">
        <v>80</v>
      </c>
      <c r="B31" s="18" t="s">
        <v>80</v>
      </c>
      <c r="C31" s="19">
        <v>106227</v>
      </c>
      <c r="D31" s="20">
        <v>57.107999999999997</v>
      </c>
      <c r="E31" s="20">
        <v>62.372</v>
      </c>
      <c r="F31" s="20">
        <f t="shared" si="0"/>
        <v>5.2640000000000029</v>
      </c>
      <c r="G31" s="20">
        <v>2197.4</v>
      </c>
      <c r="H31" s="9">
        <f t="shared" si="1"/>
        <v>11567.113600000006</v>
      </c>
      <c r="I31" s="10">
        <f t="shared" si="2"/>
        <v>809.26773000000105</v>
      </c>
      <c r="J31" s="10">
        <v>7000</v>
      </c>
      <c r="K31" s="10">
        <f t="shared" si="3"/>
        <v>19376.381330000007</v>
      </c>
      <c r="L31" s="13"/>
    </row>
    <row r="32" spans="1:12" s="21" customFormat="1" ht="51" customHeight="1" x14ac:dyDescent="0.3">
      <c r="A32" s="16">
        <v>81</v>
      </c>
      <c r="B32" s="18" t="s">
        <v>33</v>
      </c>
      <c r="C32" s="19">
        <v>106131</v>
      </c>
      <c r="D32" s="20">
        <v>103.336</v>
      </c>
      <c r="E32" s="20">
        <v>115.381</v>
      </c>
      <c r="F32" s="20">
        <f t="shared" si="0"/>
        <v>12.045000000000002</v>
      </c>
      <c r="G32" s="20">
        <v>2197.4</v>
      </c>
      <c r="H32" s="9">
        <f t="shared" si="1"/>
        <v>26467.683000000005</v>
      </c>
      <c r="I32" s="10">
        <f t="shared" si="2"/>
        <v>809.26773000000105</v>
      </c>
      <c r="J32" s="10">
        <v>7000</v>
      </c>
      <c r="K32" s="10">
        <f t="shared" si="3"/>
        <v>34276.950730000004</v>
      </c>
      <c r="L32" s="13"/>
    </row>
    <row r="33" spans="1:12" s="21" customFormat="1" ht="51" customHeight="1" x14ac:dyDescent="0.3">
      <c r="A33" s="16">
        <v>82</v>
      </c>
      <c r="B33" s="18" t="s">
        <v>81</v>
      </c>
      <c r="C33" s="19">
        <v>106138</v>
      </c>
      <c r="D33" s="20">
        <v>19.658999999999999</v>
      </c>
      <c r="E33" s="20">
        <v>21.507999999999999</v>
      </c>
      <c r="F33" s="20">
        <f t="shared" si="0"/>
        <v>1.8490000000000002</v>
      </c>
      <c r="G33" s="20">
        <v>2197.4</v>
      </c>
      <c r="H33" s="9">
        <f t="shared" si="1"/>
        <v>4062.9926000000005</v>
      </c>
      <c r="I33" s="10">
        <f t="shared" si="2"/>
        <v>809.26773000000105</v>
      </c>
      <c r="J33" s="10">
        <v>7000</v>
      </c>
      <c r="K33" s="10">
        <f t="shared" si="3"/>
        <v>11872.260330000001</v>
      </c>
      <c r="L33" s="13"/>
    </row>
    <row r="34" spans="1:12" s="21" customFormat="1" ht="51" customHeight="1" x14ac:dyDescent="0.3">
      <c r="A34" s="16">
        <v>83</v>
      </c>
      <c r="B34" s="32" t="s">
        <v>21</v>
      </c>
      <c r="C34" s="38">
        <v>106222</v>
      </c>
      <c r="D34" s="16">
        <v>30.143999999999998</v>
      </c>
      <c r="E34" s="16">
        <v>36.680999999999997</v>
      </c>
      <c r="F34" s="16">
        <f t="shared" si="0"/>
        <v>6.536999999999999</v>
      </c>
      <c r="G34" s="16">
        <v>2197.4</v>
      </c>
      <c r="H34" s="39">
        <f t="shared" si="1"/>
        <v>14364.403799999998</v>
      </c>
      <c r="I34" s="10">
        <f t="shared" si="2"/>
        <v>809.26773000000105</v>
      </c>
      <c r="J34" s="40">
        <v>7000</v>
      </c>
      <c r="K34" s="10">
        <f t="shared" si="3"/>
        <v>22173.67153</v>
      </c>
      <c r="L34" s="13"/>
    </row>
    <row r="35" spans="1:12" s="21" customFormat="1" ht="51" customHeight="1" x14ac:dyDescent="0.3">
      <c r="A35" s="16">
        <v>84</v>
      </c>
      <c r="B35" s="18" t="s">
        <v>27</v>
      </c>
      <c r="C35" s="19">
        <v>106123</v>
      </c>
      <c r="D35" s="20">
        <v>32.03</v>
      </c>
      <c r="E35" s="20">
        <v>35.042000000000002</v>
      </c>
      <c r="F35" s="20">
        <f t="shared" si="0"/>
        <v>3.0120000000000005</v>
      </c>
      <c r="G35" s="20">
        <v>2197.4</v>
      </c>
      <c r="H35" s="9">
        <f t="shared" si="1"/>
        <v>6618.5688000000009</v>
      </c>
      <c r="I35" s="10">
        <f t="shared" si="2"/>
        <v>809.26773000000105</v>
      </c>
      <c r="J35" s="10">
        <v>7000</v>
      </c>
      <c r="K35" s="10">
        <f t="shared" si="3"/>
        <v>14427.836530000002</v>
      </c>
      <c r="L35" s="13"/>
    </row>
    <row r="36" spans="1:12" ht="51" customHeight="1" x14ac:dyDescent="0.3">
      <c r="A36" s="16">
        <v>85</v>
      </c>
      <c r="B36" s="18" t="s">
        <v>26</v>
      </c>
      <c r="C36" s="19">
        <v>106134</v>
      </c>
      <c r="D36" s="20">
        <v>121.673</v>
      </c>
      <c r="E36" s="20">
        <v>132.24799999999999</v>
      </c>
      <c r="F36" s="20">
        <f t="shared" si="0"/>
        <v>10.574999999999989</v>
      </c>
      <c r="G36" s="20">
        <v>2197.4</v>
      </c>
      <c r="H36" s="9">
        <f t="shared" si="1"/>
        <v>23237.504999999976</v>
      </c>
      <c r="I36" s="10">
        <f t="shared" si="2"/>
        <v>809.26773000000105</v>
      </c>
      <c r="J36" s="10">
        <v>7000</v>
      </c>
      <c r="K36" s="10">
        <f t="shared" si="3"/>
        <v>31046.772729999975</v>
      </c>
    </row>
    <row r="37" spans="1:12" ht="51" customHeight="1" x14ac:dyDescent="0.3">
      <c r="A37" s="16">
        <v>86</v>
      </c>
      <c r="B37" s="18" t="s">
        <v>25</v>
      </c>
      <c r="C37" s="19">
        <v>106125</v>
      </c>
      <c r="D37" s="20">
        <v>62.195999999999998</v>
      </c>
      <c r="E37" s="20">
        <v>69.438000000000002</v>
      </c>
      <c r="F37" s="20">
        <f t="shared" si="0"/>
        <v>7.2420000000000044</v>
      </c>
      <c r="G37" s="20">
        <v>2197.4</v>
      </c>
      <c r="H37" s="9">
        <f t="shared" si="1"/>
        <v>15913.57080000001</v>
      </c>
      <c r="I37" s="10">
        <f t="shared" si="2"/>
        <v>809.26773000000105</v>
      </c>
      <c r="J37" s="10">
        <v>7000</v>
      </c>
      <c r="K37" s="10">
        <f t="shared" si="3"/>
        <v>23722.838530000012</v>
      </c>
    </row>
    <row r="38" spans="1:12" ht="51" customHeight="1" x14ac:dyDescent="0.3">
      <c r="A38" s="16">
        <v>87</v>
      </c>
      <c r="B38" s="18" t="s">
        <v>24</v>
      </c>
      <c r="C38" s="19">
        <v>106133</v>
      </c>
      <c r="D38" s="20">
        <v>52.18</v>
      </c>
      <c r="E38" s="20">
        <v>58.076999999999998</v>
      </c>
      <c r="F38" s="20">
        <f t="shared" si="0"/>
        <v>5.8969999999999985</v>
      </c>
      <c r="G38" s="20">
        <v>2197.4</v>
      </c>
      <c r="H38" s="9">
        <f t="shared" si="1"/>
        <v>12958.067799999997</v>
      </c>
      <c r="I38" s="10">
        <f t="shared" si="2"/>
        <v>809.26773000000105</v>
      </c>
      <c r="J38" s="10">
        <v>7000</v>
      </c>
      <c r="K38" s="10">
        <f t="shared" si="3"/>
        <v>20767.335529999997</v>
      </c>
    </row>
    <row r="39" spans="1:12" ht="51" customHeight="1" x14ac:dyDescent="0.3">
      <c r="A39" s="16">
        <v>88</v>
      </c>
      <c r="B39" s="18" t="s">
        <v>37</v>
      </c>
      <c r="C39" s="19">
        <v>106127</v>
      </c>
      <c r="D39" s="20">
        <v>79.471000000000004</v>
      </c>
      <c r="E39" s="20">
        <v>86.744</v>
      </c>
      <c r="F39" s="20">
        <f t="shared" si="0"/>
        <v>7.2729999999999961</v>
      </c>
      <c r="G39" s="20">
        <v>2197.4</v>
      </c>
      <c r="H39" s="9">
        <f t="shared" si="1"/>
        <v>15981.690199999992</v>
      </c>
      <c r="I39" s="10">
        <f t="shared" si="2"/>
        <v>809.26773000000105</v>
      </c>
      <c r="J39" s="10">
        <v>7000</v>
      </c>
      <c r="K39" s="10">
        <f t="shared" si="3"/>
        <v>23790.957929999993</v>
      </c>
      <c r="L39" s="13" t="s">
        <v>87</v>
      </c>
    </row>
    <row r="40" spans="1:12" ht="51" customHeight="1" x14ac:dyDescent="0.3">
      <c r="A40" s="16">
        <v>89</v>
      </c>
      <c r="B40" s="18" t="s">
        <v>23</v>
      </c>
      <c r="C40" s="19">
        <v>106128</v>
      </c>
      <c r="D40" s="20">
        <v>138.93100000000001</v>
      </c>
      <c r="E40" s="20">
        <v>160.363</v>
      </c>
      <c r="F40" s="20">
        <f t="shared" si="0"/>
        <v>21.431999999999988</v>
      </c>
      <c r="G40" s="20">
        <v>2197.4</v>
      </c>
      <c r="H40" s="9">
        <f t="shared" si="1"/>
        <v>47094.676799999972</v>
      </c>
      <c r="I40" s="10">
        <f t="shared" si="2"/>
        <v>809.26773000000105</v>
      </c>
      <c r="J40" s="10">
        <v>7000</v>
      </c>
      <c r="K40" s="10">
        <f t="shared" si="3"/>
        <v>54903.944529999972</v>
      </c>
    </row>
    <row r="41" spans="1:12" ht="51" customHeight="1" x14ac:dyDescent="0.3">
      <c r="A41" s="16">
        <v>90</v>
      </c>
      <c r="B41" s="18" t="s">
        <v>22</v>
      </c>
      <c r="C41" s="19">
        <v>106129</v>
      </c>
      <c r="D41" s="20">
        <v>25.202999999999999</v>
      </c>
      <c r="E41" s="20">
        <v>27.696000000000002</v>
      </c>
      <c r="F41" s="20">
        <f t="shared" si="0"/>
        <v>2.4930000000000021</v>
      </c>
      <c r="G41" s="20">
        <v>2197.4</v>
      </c>
      <c r="H41" s="9">
        <f t="shared" si="1"/>
        <v>5478.1182000000044</v>
      </c>
      <c r="I41" s="10">
        <f t="shared" si="2"/>
        <v>809.26773000000105</v>
      </c>
      <c r="J41" s="10">
        <v>7000</v>
      </c>
      <c r="K41" s="10">
        <f t="shared" si="3"/>
        <v>13287.385930000006</v>
      </c>
    </row>
    <row r="42" spans="1:12" ht="51" customHeight="1" x14ac:dyDescent="0.3">
      <c r="A42" s="16">
        <v>91</v>
      </c>
      <c r="B42" s="22" t="s">
        <v>43</v>
      </c>
      <c r="C42" s="19">
        <v>106130</v>
      </c>
      <c r="D42" s="20">
        <v>75.209000000000003</v>
      </c>
      <c r="E42" s="20">
        <v>82.325999999999993</v>
      </c>
      <c r="F42" s="20">
        <f t="shared" si="0"/>
        <v>7.1169999999999902</v>
      </c>
      <c r="G42" s="20">
        <v>2197.4</v>
      </c>
      <c r="H42" s="9">
        <f t="shared" si="1"/>
        <v>15638.895799999978</v>
      </c>
      <c r="I42" s="10">
        <f t="shared" si="2"/>
        <v>809.26773000000105</v>
      </c>
      <c r="J42" s="10">
        <v>7000</v>
      </c>
      <c r="K42" s="10">
        <f t="shared" si="3"/>
        <v>23448.16352999998</v>
      </c>
    </row>
    <row r="43" spans="1:12" ht="51" customHeight="1" x14ac:dyDescent="0.3">
      <c r="A43" s="16">
        <v>92</v>
      </c>
      <c r="B43" s="18" t="s">
        <v>28</v>
      </c>
      <c r="C43" s="19">
        <v>106121</v>
      </c>
      <c r="D43" s="20">
        <v>0.21099999999999999</v>
      </c>
      <c r="E43" s="20">
        <v>0.221</v>
      </c>
      <c r="F43" s="20">
        <f t="shared" si="0"/>
        <v>1.0000000000000009E-2</v>
      </c>
      <c r="G43" s="20">
        <v>2197.4</v>
      </c>
      <c r="H43" s="9">
        <f t="shared" si="1"/>
        <v>21.974000000000022</v>
      </c>
      <c r="I43" s="10">
        <v>0</v>
      </c>
      <c r="J43" s="10">
        <v>0</v>
      </c>
      <c r="K43" s="10">
        <f t="shared" si="3"/>
        <v>21.974000000000022</v>
      </c>
    </row>
    <row r="44" spans="1:12" ht="51" customHeight="1" x14ac:dyDescent="0.3">
      <c r="A44" s="16">
        <v>92</v>
      </c>
      <c r="B44" s="18" t="s">
        <v>29</v>
      </c>
      <c r="C44" s="19">
        <v>105148</v>
      </c>
      <c r="D44" s="20">
        <v>24.117000000000001</v>
      </c>
      <c r="E44" s="20">
        <v>26.608000000000001</v>
      </c>
      <c r="F44" s="20">
        <f t="shared" si="0"/>
        <v>2.4909999999999997</v>
      </c>
      <c r="G44" s="20">
        <v>2197.4</v>
      </c>
      <c r="H44" s="9">
        <f t="shared" si="1"/>
        <v>5473.7233999999999</v>
      </c>
      <c r="I44" s="10">
        <v>0</v>
      </c>
      <c r="J44" s="10">
        <v>0</v>
      </c>
      <c r="K44" s="10">
        <f t="shared" si="3"/>
        <v>5473.7233999999999</v>
      </c>
    </row>
    <row r="45" spans="1:12" ht="51" customHeight="1" x14ac:dyDescent="0.3">
      <c r="A45" s="16"/>
      <c r="B45" s="22" t="s">
        <v>36</v>
      </c>
      <c r="C45" s="19" t="s">
        <v>90</v>
      </c>
      <c r="D45" s="20">
        <v>2772.4650000000001</v>
      </c>
      <c r="E45" s="20">
        <v>3101.7359999999999</v>
      </c>
      <c r="F45" s="20">
        <f>E45-D45</f>
        <v>329.27099999999973</v>
      </c>
      <c r="G45" s="20"/>
      <c r="H45" s="9"/>
      <c r="I45" s="10"/>
      <c r="J45" s="10"/>
      <c r="K45" s="10">
        <f t="shared" si="3"/>
        <v>0</v>
      </c>
    </row>
    <row r="46" spans="1:12" ht="51" customHeight="1" x14ac:dyDescent="0.3">
      <c r="B46" s="23" t="s">
        <v>44</v>
      </c>
      <c r="C46" s="2">
        <v>1522</v>
      </c>
      <c r="F46" s="17">
        <f>SUM(F2:F44)</f>
        <v>315.04200000000003</v>
      </c>
      <c r="G46" s="21" t="s">
        <v>45</v>
      </c>
      <c r="H46" s="12">
        <f>SUM(H2:H44)</f>
        <v>692273.29079999996</v>
      </c>
      <c r="I46" s="24">
        <f>SUM(I2:I45)</f>
        <v>32370.709200000019</v>
      </c>
      <c r="J46" s="2">
        <f>SUM(J2:J42)</f>
        <v>275163</v>
      </c>
      <c r="K46" s="2">
        <f>SUM(K2:K45)</f>
        <v>999807</v>
      </c>
    </row>
    <row r="47" spans="1:12" ht="51" customHeight="1" x14ac:dyDescent="0.3">
      <c r="B47" s="23" t="s">
        <v>100</v>
      </c>
      <c r="C47" s="2">
        <v>723122</v>
      </c>
      <c r="G47" s="21"/>
      <c r="H47" s="25"/>
      <c r="J47" s="2"/>
      <c r="K47" s="2"/>
    </row>
    <row r="48" spans="1:12" ht="51" customHeight="1" x14ac:dyDescent="0.3">
      <c r="B48" s="23" t="s">
        <v>91</v>
      </c>
      <c r="C48" s="2">
        <v>0</v>
      </c>
      <c r="G48" s="21"/>
      <c r="H48" s="25"/>
      <c r="J48" s="2"/>
      <c r="K48" s="2"/>
    </row>
    <row r="49" spans="2:11" ht="51" customHeight="1" x14ac:dyDescent="0.3">
      <c r="B49" s="23" t="s">
        <v>92</v>
      </c>
      <c r="C49" s="25">
        <f>SUM(C46:C48)</f>
        <v>724644</v>
      </c>
      <c r="G49" s="26"/>
      <c r="H49" s="24"/>
      <c r="J49" s="2"/>
      <c r="K49" s="2"/>
    </row>
    <row r="50" spans="2:11" ht="51" customHeight="1" x14ac:dyDescent="0.3">
      <c r="B50" s="23" t="s">
        <v>46</v>
      </c>
      <c r="C50" s="27"/>
      <c r="D50" s="2">
        <f>C49-H46</f>
        <v>32370.709200000041</v>
      </c>
      <c r="K50" s="2"/>
    </row>
    <row r="51" spans="2:11" ht="51" customHeight="1" x14ac:dyDescent="0.3">
      <c r="B51" s="23" t="s">
        <v>47</v>
      </c>
      <c r="C51" s="27"/>
      <c r="D51" s="24">
        <f>D50/40</f>
        <v>809.26773000000105</v>
      </c>
      <c r="K51" s="2"/>
    </row>
    <row r="52" spans="2:11" ht="51" customHeight="1" x14ac:dyDescent="0.3">
      <c r="C52" s="27"/>
      <c r="K52" s="2"/>
    </row>
    <row r="53" spans="2:11" ht="51" customHeight="1" x14ac:dyDescent="0.3">
      <c r="C53" s="27"/>
      <c r="K53" s="2"/>
    </row>
    <row r="54" spans="2:11" ht="51" customHeight="1" x14ac:dyDescent="0.3">
      <c r="C54" s="27"/>
    </row>
    <row r="55" spans="2:11" ht="51" customHeight="1" x14ac:dyDescent="0.3">
      <c r="C55" s="27"/>
    </row>
    <row r="56" spans="2:11" ht="51" customHeight="1" x14ac:dyDescent="0.3">
      <c r="C56" s="27"/>
    </row>
    <row r="57" spans="2:11" ht="51" customHeight="1" x14ac:dyDescent="0.3">
      <c r="C57" s="27"/>
    </row>
    <row r="58" spans="2:11" ht="51" customHeight="1" x14ac:dyDescent="0.3">
      <c r="C58" s="27"/>
    </row>
    <row r="59" spans="2:11" ht="51" customHeight="1" x14ac:dyDescent="0.3">
      <c r="C59" s="27"/>
    </row>
    <row r="60" spans="2:11" ht="51" customHeight="1" x14ac:dyDescent="0.3">
      <c r="C60" s="27"/>
    </row>
    <row r="61" spans="2:11" ht="51" customHeight="1" x14ac:dyDescent="0.3">
      <c r="C61" s="27"/>
    </row>
    <row r="62" spans="2:11" ht="51" customHeight="1" x14ac:dyDescent="0.3">
      <c r="C62" s="27"/>
    </row>
    <row r="63" spans="2:11" ht="51" customHeight="1" x14ac:dyDescent="0.3">
      <c r="C63" s="27"/>
    </row>
    <row r="64" spans="2:11" ht="51" customHeight="1" x14ac:dyDescent="0.3">
      <c r="C64" s="27"/>
    </row>
    <row r="65" spans="3:3" ht="51" customHeight="1" x14ac:dyDescent="0.3">
      <c r="C65" s="27"/>
    </row>
    <row r="66" spans="3:3" ht="51" customHeight="1" x14ac:dyDescent="0.3">
      <c r="C66" s="27"/>
    </row>
    <row r="67" spans="3:3" ht="51" customHeight="1" x14ac:dyDescent="0.3">
      <c r="C67" s="27"/>
    </row>
    <row r="68" spans="3:3" ht="51" customHeight="1" x14ac:dyDescent="0.3">
      <c r="C68" s="27"/>
    </row>
    <row r="69" spans="3:3" ht="51" customHeight="1" x14ac:dyDescent="0.3">
      <c r="C69" s="27"/>
    </row>
  </sheetData>
  <autoFilter ref="A1:K51" xr:uid="{00000000-0001-0000-0000-000000000000}"/>
  <pageMargins left="0.7" right="0.7" top="0.75" bottom="0.75" header="0.3" footer="0.3"/>
  <pageSetup paperSize="9" orientation="portrait" r:id="rId1"/>
  <headerFooter>
    <oddHeader>&amp;CLECTURA DE MEDIDORES DE AGUA
BARRIO TRANSITORIO 13 DE MAYO&amp;RFECHA: _______________</oddHeader>
    <oddFooter>&amp;CCOMITÉ DE ADELANTO Y DESARROLLO 13 DE MAYO DE ANTOFAGASTA
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6E71-D28E-4DEC-90E2-87CA68CAD0AB}">
  <dimension ref="A1:N55"/>
  <sheetViews>
    <sheetView showGridLines="0" showRuler="0" zoomScale="70" zoomScaleNormal="70" zoomScaleSheetLayoutView="90" zoomScalePageLayoutView="136" workbookViewId="0">
      <pane ySplit="1" topLeftCell="A29" activePane="bottomLeft" state="frozen"/>
      <selection pane="bottomLeft" activeCell="A2" sqref="A2:K32"/>
    </sheetView>
  </sheetViews>
  <sheetFormatPr baseColWidth="10" defaultColWidth="14.44140625" defaultRowHeight="51" customHeight="1" x14ac:dyDescent="0.3"/>
  <cols>
    <col min="1" max="1" width="7.77734375" style="17" customWidth="1"/>
    <col min="2" max="2" width="37.5546875" style="23" bestFit="1" customWidth="1"/>
    <col min="3" max="3" width="11.109375" style="23" bestFit="1" customWidth="1"/>
    <col min="4" max="4" width="14.88671875" style="28" customWidth="1"/>
    <col min="5" max="5" width="11.77734375" style="23" customWidth="1"/>
    <col min="6" max="6" width="17.33203125" style="23" customWidth="1"/>
    <col min="7" max="7" width="11.21875" style="23" bestFit="1" customWidth="1"/>
    <col min="8" max="8" width="13.88671875" style="23" bestFit="1" customWidth="1"/>
    <col min="9" max="9" width="14.44140625" style="23"/>
    <col min="10" max="10" width="11.109375" style="23" bestFit="1" customWidth="1"/>
    <col min="11" max="11" width="11.109375" style="23" customWidth="1"/>
    <col min="12" max="12" width="14.44140625" style="28"/>
    <col min="13" max="16384" width="14.44140625" style="23"/>
  </cols>
  <sheetData>
    <row r="1" spans="1:12" ht="51" customHeight="1" x14ac:dyDescent="0.3">
      <c r="A1" s="14" t="s">
        <v>0</v>
      </c>
      <c r="B1" s="14" t="s">
        <v>31</v>
      </c>
      <c r="C1" s="15" t="s">
        <v>48</v>
      </c>
      <c r="D1" s="14" t="s">
        <v>35</v>
      </c>
      <c r="E1" s="14" t="s">
        <v>30</v>
      </c>
      <c r="F1" s="14" t="s">
        <v>38</v>
      </c>
      <c r="G1" s="14" t="s">
        <v>39</v>
      </c>
      <c r="H1" s="16" t="s">
        <v>40</v>
      </c>
      <c r="I1" s="14" t="s">
        <v>41</v>
      </c>
      <c r="J1" s="14" t="s">
        <v>42</v>
      </c>
      <c r="K1" s="14" t="s">
        <v>105</v>
      </c>
    </row>
    <row r="2" spans="1:12" ht="51" customHeight="1" x14ac:dyDescent="0.3">
      <c r="A2" s="16">
        <v>29</v>
      </c>
      <c r="B2" s="18" t="s">
        <v>52</v>
      </c>
      <c r="C2" s="29">
        <v>105563</v>
      </c>
      <c r="D2" s="22">
        <v>55.212000000000003</v>
      </c>
      <c r="E2" s="22">
        <v>68.533000000000001</v>
      </c>
      <c r="F2" s="22">
        <f t="shared" ref="F2:F33" si="0">E2-D2</f>
        <v>13.320999999999998</v>
      </c>
      <c r="G2" s="22">
        <v>2197.4</v>
      </c>
      <c r="H2" s="3">
        <f>F2*G2</f>
        <v>29271.565399999996</v>
      </c>
      <c r="I2" s="4">
        <f>$D$39</f>
        <v>1522.7072689655229</v>
      </c>
      <c r="J2" s="3">
        <v>7000</v>
      </c>
      <c r="K2" s="10">
        <f>H2+I2+J2</f>
        <v>37794.272668965517</v>
      </c>
    </row>
    <row r="3" spans="1:12" ht="51" customHeight="1" x14ac:dyDescent="0.3">
      <c r="A3" s="20">
        <v>30</v>
      </c>
      <c r="B3" s="18" t="s">
        <v>94</v>
      </c>
      <c r="C3" s="29">
        <v>105536</v>
      </c>
      <c r="D3" s="22">
        <v>1.694</v>
      </c>
      <c r="E3" s="22">
        <v>4.6740000000000004</v>
      </c>
      <c r="F3" s="22">
        <f t="shared" si="0"/>
        <v>2.9800000000000004</v>
      </c>
      <c r="G3" s="22">
        <v>2197.4</v>
      </c>
      <c r="H3" s="3">
        <f>F3*G3</f>
        <v>6548.2520000000013</v>
      </c>
      <c r="I3" s="4">
        <f t="shared" ref="I3:I32" si="1">$D$39</f>
        <v>1522.7072689655229</v>
      </c>
      <c r="J3" s="3">
        <v>0</v>
      </c>
      <c r="K3" s="10">
        <f t="shared" ref="K3:K33" si="2">H3+I3+J3</f>
        <v>8070.9592689655237</v>
      </c>
      <c r="L3" s="30" t="s">
        <v>104</v>
      </c>
    </row>
    <row r="4" spans="1:12" ht="51" customHeight="1" x14ac:dyDescent="0.3">
      <c r="A4" s="16">
        <v>31</v>
      </c>
      <c r="B4" s="18" t="s">
        <v>53</v>
      </c>
      <c r="C4" s="29">
        <v>105567</v>
      </c>
      <c r="D4" s="22">
        <v>22.780999999999999</v>
      </c>
      <c r="E4" s="22">
        <v>27.192</v>
      </c>
      <c r="F4" s="22">
        <f t="shared" si="0"/>
        <v>4.4110000000000014</v>
      </c>
      <c r="G4" s="22">
        <v>2197.4</v>
      </c>
      <c r="H4" s="3">
        <f t="shared" ref="H4:H29" si="3">F4*G4</f>
        <v>9692.7314000000042</v>
      </c>
      <c r="I4" s="4">
        <f t="shared" si="1"/>
        <v>1522.7072689655229</v>
      </c>
      <c r="J4" s="3">
        <v>7000</v>
      </c>
      <c r="K4" s="10">
        <f t="shared" si="2"/>
        <v>18215.438668965529</v>
      </c>
    </row>
    <row r="5" spans="1:12" ht="51" customHeight="1" x14ac:dyDescent="0.3">
      <c r="A5" s="16">
        <v>32</v>
      </c>
      <c r="B5" s="18" t="s">
        <v>54</v>
      </c>
      <c r="C5" s="29">
        <v>106175</v>
      </c>
      <c r="D5" s="22">
        <v>37.512</v>
      </c>
      <c r="E5" s="22">
        <v>45.2</v>
      </c>
      <c r="F5" s="22">
        <f t="shared" si="0"/>
        <v>7.6880000000000024</v>
      </c>
      <c r="G5" s="22">
        <v>2197.4</v>
      </c>
      <c r="H5" s="3">
        <f t="shared" si="3"/>
        <v>16893.611200000007</v>
      </c>
      <c r="I5" s="4">
        <f t="shared" si="1"/>
        <v>1522.7072689655229</v>
      </c>
      <c r="J5" s="3">
        <v>7000</v>
      </c>
      <c r="K5" s="10">
        <f t="shared" si="2"/>
        <v>25416.318468965528</v>
      </c>
    </row>
    <row r="6" spans="1:12" ht="51" customHeight="1" x14ac:dyDescent="0.3">
      <c r="A6" s="16">
        <v>33</v>
      </c>
      <c r="B6" s="18" t="s">
        <v>55</v>
      </c>
      <c r="C6" s="29">
        <v>105518</v>
      </c>
      <c r="D6" s="22">
        <v>35.880000000000003</v>
      </c>
      <c r="E6" s="22">
        <v>43.634</v>
      </c>
      <c r="F6" s="22">
        <f t="shared" si="0"/>
        <v>7.7539999999999978</v>
      </c>
      <c r="G6" s="22">
        <v>2197.4</v>
      </c>
      <c r="H6" s="3">
        <f t="shared" si="3"/>
        <v>17038.639599999995</v>
      </c>
      <c r="I6" s="4">
        <f t="shared" si="1"/>
        <v>1522.7072689655229</v>
      </c>
      <c r="J6" s="3">
        <v>7000</v>
      </c>
      <c r="K6" s="10">
        <f t="shared" si="2"/>
        <v>25561.346868965516</v>
      </c>
    </row>
    <row r="7" spans="1:12" ht="51" customHeight="1" x14ac:dyDescent="0.3">
      <c r="A7" s="16">
        <v>34</v>
      </c>
      <c r="B7" s="18" t="s">
        <v>56</v>
      </c>
      <c r="C7" s="29">
        <v>105553</v>
      </c>
      <c r="D7" s="22">
        <v>26.425000000000001</v>
      </c>
      <c r="E7" s="22">
        <v>29.966999999999999</v>
      </c>
      <c r="F7" s="22">
        <f t="shared" si="0"/>
        <v>3.541999999999998</v>
      </c>
      <c r="G7" s="22">
        <v>2197.4</v>
      </c>
      <c r="H7" s="3">
        <f t="shared" si="3"/>
        <v>7783.1907999999958</v>
      </c>
      <c r="I7" s="4">
        <f t="shared" si="1"/>
        <v>1522.7072689655229</v>
      </c>
      <c r="J7" s="3">
        <v>7000</v>
      </c>
      <c r="K7" s="10">
        <f t="shared" si="2"/>
        <v>16305.898068965518</v>
      </c>
    </row>
    <row r="8" spans="1:12" ht="51" customHeight="1" x14ac:dyDescent="0.3">
      <c r="A8" s="16">
        <v>36</v>
      </c>
      <c r="B8" s="18" t="s">
        <v>57</v>
      </c>
      <c r="C8" s="29">
        <v>105568</v>
      </c>
      <c r="D8" s="22">
        <v>19.379000000000001</v>
      </c>
      <c r="E8" s="22">
        <v>23.751999999999999</v>
      </c>
      <c r="F8" s="22">
        <f t="shared" si="0"/>
        <v>4.3729999999999976</v>
      </c>
      <c r="G8" s="22">
        <v>2197.4</v>
      </c>
      <c r="H8" s="3">
        <f t="shared" si="3"/>
        <v>9609.2301999999945</v>
      </c>
      <c r="I8" s="4">
        <f t="shared" si="1"/>
        <v>1522.7072689655229</v>
      </c>
      <c r="J8" s="3">
        <v>7000</v>
      </c>
      <c r="K8" s="10">
        <f t="shared" si="2"/>
        <v>18131.937468965516</v>
      </c>
      <c r="L8" s="31"/>
    </row>
    <row r="9" spans="1:12" ht="51" customHeight="1" x14ac:dyDescent="0.3">
      <c r="A9" s="16">
        <v>37</v>
      </c>
      <c r="B9" s="18" t="s">
        <v>58</v>
      </c>
      <c r="C9" s="29">
        <v>105552</v>
      </c>
      <c r="D9" s="22">
        <v>33.706000000000003</v>
      </c>
      <c r="E9" s="22">
        <v>39.133000000000003</v>
      </c>
      <c r="F9" s="22">
        <f t="shared" si="0"/>
        <v>5.4269999999999996</v>
      </c>
      <c r="G9" s="22">
        <v>2197.4</v>
      </c>
      <c r="H9" s="3">
        <f t="shared" si="3"/>
        <v>11925.2898</v>
      </c>
      <c r="I9" s="4">
        <f t="shared" si="1"/>
        <v>1522.7072689655229</v>
      </c>
      <c r="J9" s="3">
        <v>7000</v>
      </c>
      <c r="K9" s="10">
        <f t="shared" si="2"/>
        <v>20447.997068965524</v>
      </c>
    </row>
    <row r="10" spans="1:12" ht="51" customHeight="1" x14ac:dyDescent="0.3">
      <c r="A10" s="16">
        <v>38</v>
      </c>
      <c r="B10" s="18" t="s">
        <v>59</v>
      </c>
      <c r="C10" s="29">
        <v>105564</v>
      </c>
      <c r="D10" s="22">
        <v>29.765000000000001</v>
      </c>
      <c r="E10" s="22">
        <v>35.857999999999997</v>
      </c>
      <c r="F10" s="22">
        <f t="shared" si="0"/>
        <v>6.0929999999999964</v>
      </c>
      <c r="G10" s="22">
        <v>2197.4</v>
      </c>
      <c r="H10" s="3">
        <f t="shared" si="3"/>
        <v>13388.758199999993</v>
      </c>
      <c r="I10" s="4">
        <f t="shared" si="1"/>
        <v>1522.7072689655229</v>
      </c>
      <c r="J10" s="3">
        <v>7000</v>
      </c>
      <c r="K10" s="10">
        <f t="shared" si="2"/>
        <v>21911.465468965514</v>
      </c>
    </row>
    <row r="11" spans="1:12" ht="51" customHeight="1" x14ac:dyDescent="0.3">
      <c r="A11" s="16">
        <v>39</v>
      </c>
      <c r="B11" s="18" t="s">
        <v>60</v>
      </c>
      <c r="C11" s="29">
        <v>105551</v>
      </c>
      <c r="D11" s="22">
        <v>42.648000000000003</v>
      </c>
      <c r="E11" s="22">
        <v>48.49</v>
      </c>
      <c r="F11" s="22">
        <f t="shared" si="0"/>
        <v>5.8419999999999987</v>
      </c>
      <c r="G11" s="22">
        <v>2197.4</v>
      </c>
      <c r="H11" s="3">
        <f t="shared" si="3"/>
        <v>12837.210799999997</v>
      </c>
      <c r="I11" s="4">
        <f t="shared" si="1"/>
        <v>1522.7072689655229</v>
      </c>
      <c r="J11" s="3">
        <v>7000</v>
      </c>
      <c r="K11" s="10">
        <f t="shared" si="2"/>
        <v>21359.918068965519</v>
      </c>
    </row>
    <row r="12" spans="1:12" ht="51" customHeight="1" x14ac:dyDescent="0.3">
      <c r="A12" s="16">
        <v>40</v>
      </c>
      <c r="B12" s="18" t="s">
        <v>61</v>
      </c>
      <c r="C12" s="29">
        <v>105512</v>
      </c>
      <c r="D12" s="22">
        <v>34.222999999999999</v>
      </c>
      <c r="E12" s="22">
        <v>42.643999999999998</v>
      </c>
      <c r="F12" s="22">
        <f t="shared" si="0"/>
        <v>8.4209999999999994</v>
      </c>
      <c r="G12" s="22">
        <v>2197.4</v>
      </c>
      <c r="H12" s="3">
        <f t="shared" si="3"/>
        <v>18504.305400000001</v>
      </c>
      <c r="I12" s="4">
        <f t="shared" si="1"/>
        <v>1522.7072689655229</v>
      </c>
      <c r="J12" s="3">
        <v>7000</v>
      </c>
      <c r="K12" s="10">
        <f t="shared" si="2"/>
        <v>27027.012668965523</v>
      </c>
    </row>
    <row r="13" spans="1:12" ht="51" customHeight="1" x14ac:dyDescent="0.3">
      <c r="A13" s="16">
        <v>41</v>
      </c>
      <c r="B13" s="18" t="s">
        <v>62</v>
      </c>
      <c r="C13" s="29">
        <v>105565</v>
      </c>
      <c r="D13" s="22">
        <v>13.898999999999999</v>
      </c>
      <c r="E13" s="22">
        <v>17.423999999999999</v>
      </c>
      <c r="F13" s="22">
        <f t="shared" si="0"/>
        <v>3.5250000000000004</v>
      </c>
      <c r="G13" s="22">
        <v>2197.4</v>
      </c>
      <c r="H13" s="3">
        <f t="shared" si="3"/>
        <v>7745.8350000000009</v>
      </c>
      <c r="I13" s="4">
        <f t="shared" si="1"/>
        <v>1522.7072689655229</v>
      </c>
      <c r="J13" s="3">
        <v>7000</v>
      </c>
      <c r="K13" s="10">
        <f t="shared" si="2"/>
        <v>16268.542268965524</v>
      </c>
    </row>
    <row r="14" spans="1:12" ht="51" customHeight="1" x14ac:dyDescent="0.3">
      <c r="A14" s="16">
        <v>42</v>
      </c>
      <c r="B14" s="18" t="s">
        <v>63</v>
      </c>
      <c r="C14" s="29">
        <v>105517</v>
      </c>
      <c r="D14" s="22">
        <v>51.798000000000002</v>
      </c>
      <c r="E14" s="22">
        <v>63.371000000000002</v>
      </c>
      <c r="F14" s="22">
        <f t="shared" si="0"/>
        <v>11.573</v>
      </c>
      <c r="G14" s="22">
        <v>2197.4</v>
      </c>
      <c r="H14" s="3">
        <f t="shared" si="3"/>
        <v>25430.510200000001</v>
      </c>
      <c r="I14" s="4">
        <f t="shared" si="1"/>
        <v>1522.7072689655229</v>
      </c>
      <c r="J14" s="3">
        <v>7000</v>
      </c>
      <c r="K14" s="10">
        <f t="shared" si="2"/>
        <v>33953.217468965522</v>
      </c>
    </row>
    <row r="15" spans="1:12" ht="51" customHeight="1" x14ac:dyDescent="0.3">
      <c r="A15" s="16">
        <v>43</v>
      </c>
      <c r="B15" s="18" t="s">
        <v>64</v>
      </c>
      <c r="C15" s="29">
        <v>105558</v>
      </c>
      <c r="D15" s="22">
        <v>40.595999999999997</v>
      </c>
      <c r="E15" s="22">
        <v>45.826000000000001</v>
      </c>
      <c r="F15" s="22">
        <f t="shared" si="0"/>
        <v>5.230000000000004</v>
      </c>
      <c r="G15" s="22">
        <v>2197.4</v>
      </c>
      <c r="H15" s="3">
        <f t="shared" si="3"/>
        <v>11492.402000000009</v>
      </c>
      <c r="I15" s="4">
        <f t="shared" si="1"/>
        <v>1522.7072689655229</v>
      </c>
      <c r="J15" s="3">
        <v>7000</v>
      </c>
      <c r="K15" s="10">
        <f t="shared" si="2"/>
        <v>20015.109268965534</v>
      </c>
    </row>
    <row r="16" spans="1:12" ht="51" customHeight="1" x14ac:dyDescent="0.3">
      <c r="A16" s="16">
        <v>44</v>
      </c>
      <c r="B16" s="18" t="s">
        <v>65</v>
      </c>
      <c r="C16" s="29">
        <v>105556</v>
      </c>
      <c r="D16" s="22">
        <v>44.453000000000003</v>
      </c>
      <c r="E16" s="22">
        <v>53.107999999999997</v>
      </c>
      <c r="F16" s="22">
        <f t="shared" si="0"/>
        <v>8.654999999999994</v>
      </c>
      <c r="G16" s="22">
        <v>2197.4</v>
      </c>
      <c r="H16" s="3">
        <f t="shared" si="3"/>
        <v>19018.496999999988</v>
      </c>
      <c r="I16" s="4">
        <f t="shared" si="1"/>
        <v>1522.7072689655229</v>
      </c>
      <c r="J16" s="3">
        <f>7000</f>
        <v>7000</v>
      </c>
      <c r="K16" s="10">
        <f t="shared" si="2"/>
        <v>27541.20426896551</v>
      </c>
    </row>
    <row r="17" spans="1:14" s="28" customFormat="1" ht="51" customHeight="1" x14ac:dyDescent="0.3">
      <c r="A17" s="16">
        <v>50</v>
      </c>
      <c r="B17" s="18" t="s">
        <v>66</v>
      </c>
      <c r="C17" s="29">
        <v>105516</v>
      </c>
      <c r="D17" s="22">
        <v>31.956</v>
      </c>
      <c r="E17" s="22">
        <v>37.694000000000003</v>
      </c>
      <c r="F17" s="22">
        <f t="shared" si="0"/>
        <v>5.7380000000000031</v>
      </c>
      <c r="G17" s="22">
        <v>2197.4</v>
      </c>
      <c r="H17" s="3">
        <f t="shared" si="3"/>
        <v>12608.681200000008</v>
      </c>
      <c r="I17" s="4">
        <f t="shared" si="1"/>
        <v>1522.7072689655229</v>
      </c>
      <c r="J17" s="3">
        <v>7000</v>
      </c>
      <c r="K17" s="10">
        <f t="shared" si="2"/>
        <v>21131.388468965532</v>
      </c>
      <c r="L17" s="30" t="s">
        <v>99</v>
      </c>
    </row>
    <row r="18" spans="1:14" s="28" customFormat="1" ht="51" customHeight="1" x14ac:dyDescent="0.3">
      <c r="A18" s="16">
        <v>58</v>
      </c>
      <c r="B18" s="18" t="s">
        <v>67</v>
      </c>
      <c r="C18" s="29">
        <v>106726</v>
      </c>
      <c r="D18" s="22">
        <v>61.136000000000003</v>
      </c>
      <c r="E18" s="22">
        <v>68.819999999999993</v>
      </c>
      <c r="F18" s="22">
        <f t="shared" si="0"/>
        <v>7.6839999999999904</v>
      </c>
      <c r="G18" s="22">
        <v>2197.4</v>
      </c>
      <c r="H18" s="3">
        <f t="shared" si="3"/>
        <v>16884.821599999981</v>
      </c>
      <c r="I18" s="4">
        <f t="shared" si="1"/>
        <v>1522.7072689655229</v>
      </c>
      <c r="J18" s="3">
        <v>7000</v>
      </c>
      <c r="K18" s="10">
        <f t="shared" si="2"/>
        <v>25407.528868965503</v>
      </c>
    </row>
    <row r="19" spans="1:14" s="28" customFormat="1" ht="51" customHeight="1" x14ac:dyDescent="0.3">
      <c r="A19" s="16">
        <v>59</v>
      </c>
      <c r="B19" s="18" t="s">
        <v>68</v>
      </c>
      <c r="C19" s="29">
        <v>105559</v>
      </c>
      <c r="D19" s="22">
        <v>46.957999999999998</v>
      </c>
      <c r="E19" s="22">
        <v>55.619</v>
      </c>
      <c r="F19" s="22">
        <f t="shared" si="0"/>
        <v>8.6610000000000014</v>
      </c>
      <c r="G19" s="22">
        <v>2197.4</v>
      </c>
      <c r="H19" s="3">
        <f t="shared" si="3"/>
        <v>19031.681400000005</v>
      </c>
      <c r="I19" s="4">
        <f t="shared" si="1"/>
        <v>1522.7072689655229</v>
      </c>
      <c r="J19" s="3">
        <v>7000</v>
      </c>
      <c r="K19" s="10">
        <f t="shared" si="2"/>
        <v>27554.388668965526</v>
      </c>
    </row>
    <row r="20" spans="1:14" s="28" customFormat="1" ht="51" customHeight="1" x14ac:dyDescent="0.3">
      <c r="A20" s="16">
        <v>60</v>
      </c>
      <c r="B20" s="18" t="s">
        <v>69</v>
      </c>
      <c r="C20" s="29">
        <v>105513</v>
      </c>
      <c r="D20" s="22">
        <v>17.981999999999999</v>
      </c>
      <c r="E20" s="22">
        <v>20.774000000000001</v>
      </c>
      <c r="F20" s="22">
        <f t="shared" si="0"/>
        <v>2.7920000000000016</v>
      </c>
      <c r="G20" s="22">
        <v>2197.4</v>
      </c>
      <c r="H20" s="3">
        <f t="shared" si="3"/>
        <v>6135.1408000000038</v>
      </c>
      <c r="I20" s="4">
        <f t="shared" si="1"/>
        <v>1522.7072689655229</v>
      </c>
      <c r="J20" s="3">
        <v>7000</v>
      </c>
      <c r="K20" s="10">
        <f t="shared" si="2"/>
        <v>14657.848068965526</v>
      </c>
    </row>
    <row r="21" spans="1:14" s="28" customFormat="1" ht="51" customHeight="1" x14ac:dyDescent="0.3">
      <c r="A21" s="16">
        <v>61</v>
      </c>
      <c r="B21" s="18" t="s">
        <v>70</v>
      </c>
      <c r="C21" s="29">
        <v>105514</v>
      </c>
      <c r="D21" s="22">
        <v>32.158000000000001</v>
      </c>
      <c r="E21" s="22">
        <v>44.957999999999998</v>
      </c>
      <c r="F21" s="22">
        <f t="shared" si="0"/>
        <v>12.799999999999997</v>
      </c>
      <c r="G21" s="22">
        <v>2197.4</v>
      </c>
      <c r="H21" s="3">
        <f t="shared" si="3"/>
        <v>28126.719999999994</v>
      </c>
      <c r="I21" s="4">
        <f t="shared" si="1"/>
        <v>1522.7072689655229</v>
      </c>
      <c r="J21" s="3">
        <v>7000</v>
      </c>
      <c r="K21" s="10">
        <v>5901</v>
      </c>
      <c r="L21" s="30" t="s">
        <v>102</v>
      </c>
    </row>
    <row r="22" spans="1:14" s="28" customFormat="1" ht="51" customHeight="1" x14ac:dyDescent="0.3">
      <c r="A22" s="16">
        <v>62</v>
      </c>
      <c r="B22" s="18" t="s">
        <v>71</v>
      </c>
      <c r="C22" s="29">
        <v>105515</v>
      </c>
      <c r="D22" s="22">
        <v>25.045999999999999</v>
      </c>
      <c r="E22" s="22">
        <v>29.745999999999999</v>
      </c>
      <c r="F22" s="22">
        <f t="shared" si="0"/>
        <v>4.6999999999999993</v>
      </c>
      <c r="G22" s="22">
        <v>2197.4</v>
      </c>
      <c r="H22" s="3">
        <f t="shared" si="3"/>
        <v>10327.779999999999</v>
      </c>
      <c r="I22" s="4">
        <f t="shared" si="1"/>
        <v>1522.7072689655229</v>
      </c>
      <c r="J22" s="3">
        <v>7000</v>
      </c>
      <c r="K22" s="10">
        <f t="shared" si="2"/>
        <v>18850.487268965524</v>
      </c>
      <c r="N22" s="47"/>
    </row>
    <row r="23" spans="1:14" s="28" customFormat="1" ht="51" customHeight="1" x14ac:dyDescent="0.3">
      <c r="A23" s="16">
        <v>63</v>
      </c>
      <c r="B23" s="32" t="s">
        <v>51</v>
      </c>
      <c r="C23" s="33">
        <v>105569</v>
      </c>
      <c r="D23" s="34">
        <v>27.786999999999999</v>
      </c>
      <c r="E23" s="34">
        <v>34.317999999999998</v>
      </c>
      <c r="F23" s="22">
        <f t="shared" si="0"/>
        <v>6.5309999999999988</v>
      </c>
      <c r="G23" s="34">
        <v>2197.4</v>
      </c>
      <c r="H23" s="5">
        <f t="shared" si="3"/>
        <v>14351.219399999998</v>
      </c>
      <c r="I23" s="4">
        <f t="shared" si="1"/>
        <v>1522.7072689655229</v>
      </c>
      <c r="J23" s="3">
        <v>0</v>
      </c>
      <c r="K23" s="10">
        <f t="shared" si="2"/>
        <v>15873.926668965521</v>
      </c>
      <c r="N23" s="47"/>
    </row>
    <row r="24" spans="1:14" ht="51" customHeight="1" x14ac:dyDescent="0.3">
      <c r="A24" s="16">
        <v>64</v>
      </c>
      <c r="B24" s="18" t="s">
        <v>72</v>
      </c>
      <c r="C24" s="29">
        <v>105537</v>
      </c>
      <c r="D24" s="22">
        <v>67.311000000000007</v>
      </c>
      <c r="E24" s="22">
        <v>75.873999999999995</v>
      </c>
      <c r="F24" s="22">
        <f t="shared" si="0"/>
        <v>8.5629999999999882</v>
      </c>
      <c r="G24" s="22">
        <v>2197.4</v>
      </c>
      <c r="H24" s="3">
        <f t="shared" si="3"/>
        <v>18816.336199999976</v>
      </c>
      <c r="I24" s="4">
        <f t="shared" si="1"/>
        <v>1522.7072689655229</v>
      </c>
      <c r="J24" s="3">
        <v>7000</v>
      </c>
      <c r="K24" s="10">
        <f t="shared" si="2"/>
        <v>27339.043468965498</v>
      </c>
    </row>
    <row r="25" spans="1:14" ht="51" customHeight="1" x14ac:dyDescent="0.3">
      <c r="A25" s="16">
        <v>65</v>
      </c>
      <c r="B25" s="18" t="s">
        <v>73</v>
      </c>
      <c r="C25" s="29">
        <v>105566</v>
      </c>
      <c r="D25" s="22">
        <v>50.811999999999998</v>
      </c>
      <c r="E25" s="22">
        <v>62.734999999999999</v>
      </c>
      <c r="F25" s="22">
        <f t="shared" si="0"/>
        <v>11.923000000000002</v>
      </c>
      <c r="G25" s="22">
        <v>2197.4</v>
      </c>
      <c r="H25" s="3">
        <f t="shared" si="3"/>
        <v>26199.600200000004</v>
      </c>
      <c r="I25" s="4">
        <f t="shared" si="1"/>
        <v>1522.7072689655229</v>
      </c>
      <c r="J25" s="3">
        <v>7000</v>
      </c>
      <c r="K25" s="10">
        <f t="shared" si="2"/>
        <v>34722.307468965526</v>
      </c>
    </row>
    <row r="26" spans="1:14" ht="51" customHeight="1" x14ac:dyDescent="0.3">
      <c r="A26" s="16">
        <v>66</v>
      </c>
      <c r="B26" s="18" t="s">
        <v>74</v>
      </c>
      <c r="C26" s="29">
        <v>105557</v>
      </c>
      <c r="D26" s="22">
        <v>61.145000000000003</v>
      </c>
      <c r="E26" s="22">
        <v>71.843999999999994</v>
      </c>
      <c r="F26" s="22">
        <f t="shared" si="0"/>
        <v>10.698999999999991</v>
      </c>
      <c r="G26" s="22">
        <v>2197.4</v>
      </c>
      <c r="H26" s="3">
        <f t="shared" si="3"/>
        <v>23509.982599999981</v>
      </c>
      <c r="I26" s="4">
        <f t="shared" si="1"/>
        <v>1522.7072689655229</v>
      </c>
      <c r="J26" s="3">
        <v>7000</v>
      </c>
      <c r="K26" s="10">
        <f t="shared" si="2"/>
        <v>32032.689868965503</v>
      </c>
    </row>
    <row r="27" spans="1:14" ht="51" customHeight="1" x14ac:dyDescent="0.3">
      <c r="A27" s="16">
        <v>67</v>
      </c>
      <c r="B27" s="18" t="s">
        <v>75</v>
      </c>
      <c r="C27" s="29">
        <v>105555</v>
      </c>
      <c r="D27" s="22">
        <v>46.55</v>
      </c>
      <c r="E27" s="22">
        <v>55.826999999999998</v>
      </c>
      <c r="F27" s="22">
        <f t="shared" si="0"/>
        <v>9.277000000000001</v>
      </c>
      <c r="G27" s="22">
        <v>2197.4</v>
      </c>
      <c r="H27" s="3">
        <f t="shared" si="3"/>
        <v>20385.279800000004</v>
      </c>
      <c r="I27" s="4">
        <f t="shared" si="1"/>
        <v>1522.7072689655229</v>
      </c>
      <c r="J27" s="3">
        <v>7000</v>
      </c>
      <c r="K27" s="10">
        <f t="shared" si="2"/>
        <v>28907.987068965525</v>
      </c>
    </row>
    <row r="28" spans="1:14" ht="51" customHeight="1" x14ac:dyDescent="0.3">
      <c r="A28" s="16">
        <v>68</v>
      </c>
      <c r="B28" s="18" t="s">
        <v>76</v>
      </c>
      <c r="C28" s="29">
        <v>105554</v>
      </c>
      <c r="D28" s="22">
        <v>110.646</v>
      </c>
      <c r="E28" s="22">
        <v>129.12299999999999</v>
      </c>
      <c r="F28" s="22">
        <f t="shared" si="0"/>
        <v>18.47699999999999</v>
      </c>
      <c r="G28" s="22">
        <v>2197.4</v>
      </c>
      <c r="H28" s="3">
        <f t="shared" si="3"/>
        <v>40601.359799999977</v>
      </c>
      <c r="I28" s="4">
        <f t="shared" si="1"/>
        <v>1522.7072689655229</v>
      </c>
      <c r="J28" s="3">
        <v>7000</v>
      </c>
      <c r="K28" s="10">
        <f t="shared" si="2"/>
        <v>49124.067068965502</v>
      </c>
    </row>
    <row r="29" spans="1:14" ht="51" customHeight="1" x14ac:dyDescent="0.3">
      <c r="A29" s="16">
        <v>69</v>
      </c>
      <c r="B29" s="22" t="s">
        <v>77</v>
      </c>
      <c r="C29" s="29">
        <v>106174</v>
      </c>
      <c r="D29" s="22">
        <v>67.381</v>
      </c>
      <c r="E29" s="22">
        <v>73.135999999999996</v>
      </c>
      <c r="F29" s="22">
        <f t="shared" si="0"/>
        <v>5.7549999999999955</v>
      </c>
      <c r="G29" s="22">
        <v>2197.4</v>
      </c>
      <c r="H29" s="3">
        <f t="shared" si="3"/>
        <v>12646.036999999991</v>
      </c>
      <c r="I29" s="4">
        <f t="shared" si="1"/>
        <v>1522.7072689655229</v>
      </c>
      <c r="J29" s="3">
        <v>7000</v>
      </c>
      <c r="K29" s="10">
        <f t="shared" si="2"/>
        <v>21168.744268965514</v>
      </c>
    </row>
    <row r="30" spans="1:14" ht="51" customHeight="1" x14ac:dyDescent="0.3">
      <c r="A30" s="16">
        <v>70</v>
      </c>
      <c r="B30" s="18" t="s">
        <v>88</v>
      </c>
      <c r="C30" s="29">
        <v>106178</v>
      </c>
      <c r="D30" s="22">
        <v>133.22300000000001</v>
      </c>
      <c r="E30" s="22">
        <v>138.696</v>
      </c>
      <c r="F30" s="22">
        <f t="shared" si="0"/>
        <v>5.4729999999999848</v>
      </c>
      <c r="G30" s="22">
        <v>2197.4</v>
      </c>
      <c r="H30" s="3">
        <f>F30*G30</f>
        <v>12026.370199999967</v>
      </c>
      <c r="I30" s="4">
        <f t="shared" si="1"/>
        <v>1522.7072689655229</v>
      </c>
      <c r="J30" s="3">
        <v>7000</v>
      </c>
      <c r="K30" s="10">
        <f t="shared" si="2"/>
        <v>20549.07746896549</v>
      </c>
    </row>
    <row r="31" spans="1:14" ht="51" customHeight="1" x14ac:dyDescent="0.3">
      <c r="A31" s="16">
        <v>71</v>
      </c>
      <c r="B31" s="18" t="s">
        <v>78</v>
      </c>
      <c r="C31" s="29">
        <v>105519</v>
      </c>
      <c r="D31" s="22">
        <v>42.332999999999998</v>
      </c>
      <c r="E31" s="22">
        <v>48.055999999999997</v>
      </c>
      <c r="F31" s="22">
        <f t="shared" si="0"/>
        <v>5.722999999999999</v>
      </c>
      <c r="G31" s="22">
        <v>2197.4</v>
      </c>
      <c r="H31" s="3">
        <f t="shared" ref="H31:H32" si="4">F31*G31</f>
        <v>12575.720199999998</v>
      </c>
      <c r="I31" s="4">
        <f t="shared" si="1"/>
        <v>1522.7072689655229</v>
      </c>
      <c r="J31" s="3">
        <v>7000</v>
      </c>
      <c r="K31" s="10">
        <f t="shared" si="2"/>
        <v>21098.427468965521</v>
      </c>
    </row>
    <row r="32" spans="1:14" ht="51" customHeight="1" x14ac:dyDescent="0.3">
      <c r="A32" s="16">
        <v>72</v>
      </c>
      <c r="B32" s="18" t="s">
        <v>79</v>
      </c>
      <c r="C32" s="29">
        <v>106177</v>
      </c>
      <c r="D32" s="22">
        <v>41.298999999999999</v>
      </c>
      <c r="E32" s="22">
        <v>47.326000000000001</v>
      </c>
      <c r="F32" s="22">
        <f t="shared" si="0"/>
        <v>6.027000000000001</v>
      </c>
      <c r="G32" s="22">
        <v>2197.4</v>
      </c>
      <c r="H32" s="3">
        <f t="shared" si="4"/>
        <v>13243.729800000003</v>
      </c>
      <c r="I32" s="4">
        <f t="shared" si="1"/>
        <v>1522.7072689655229</v>
      </c>
      <c r="J32" s="3">
        <v>0</v>
      </c>
      <c r="K32" s="10">
        <f t="shared" si="2"/>
        <v>14766.437068965526</v>
      </c>
      <c r="L32" s="30" t="s">
        <v>103</v>
      </c>
    </row>
    <row r="33" spans="1:11" ht="51" customHeight="1" x14ac:dyDescent="0.3">
      <c r="A33" s="16"/>
      <c r="B33" s="22" t="s">
        <v>50</v>
      </c>
      <c r="C33" s="29" t="s">
        <v>86</v>
      </c>
      <c r="D33" s="22">
        <v>1550.2070000000001</v>
      </c>
      <c r="E33" s="22">
        <v>1797.838</v>
      </c>
      <c r="F33" s="22">
        <f t="shared" si="0"/>
        <v>247.63099999999986</v>
      </c>
      <c r="G33" s="22"/>
      <c r="H33" s="3"/>
      <c r="I33" s="4"/>
      <c r="J33" s="3"/>
      <c r="K33" s="10">
        <f t="shared" si="2"/>
        <v>0</v>
      </c>
    </row>
    <row r="34" spans="1:11" ht="51" customHeight="1" x14ac:dyDescent="0.3">
      <c r="B34" s="23" t="s">
        <v>44</v>
      </c>
      <c r="C34" s="6">
        <v>1522</v>
      </c>
      <c r="F34" s="23">
        <f>SUM(F2:F32)</f>
        <v>229.6579999999999</v>
      </c>
      <c r="G34" s="28" t="s">
        <v>45</v>
      </c>
      <c r="H34" s="7">
        <f>SUM(H2:H32)</f>
        <v>504650.48919999984</v>
      </c>
      <c r="I34" s="6">
        <v>0</v>
      </c>
      <c r="J34" s="8">
        <f>SUM(J2:J33)</f>
        <v>196000</v>
      </c>
      <c r="K34" s="2">
        <f>SUM(K2:K33)</f>
        <v>717105.98726896569</v>
      </c>
    </row>
    <row r="35" spans="1:11" ht="51" customHeight="1" x14ac:dyDescent="0.3">
      <c r="B35" s="23" t="s">
        <v>101</v>
      </c>
      <c r="C35" s="2">
        <v>547287</v>
      </c>
      <c r="D35" s="21"/>
      <c r="G35" s="28"/>
      <c r="H35" s="31"/>
      <c r="K35" s="2"/>
    </row>
    <row r="36" spans="1:11" ht="51" customHeight="1" x14ac:dyDescent="0.3">
      <c r="B36" s="23" t="s">
        <v>91</v>
      </c>
      <c r="C36" s="2">
        <v>0</v>
      </c>
      <c r="D36" s="21"/>
      <c r="G36" s="35"/>
      <c r="H36" s="36"/>
      <c r="J36" s="8"/>
      <c r="K36" s="2"/>
    </row>
    <row r="37" spans="1:11" ht="51" customHeight="1" x14ac:dyDescent="0.3">
      <c r="B37" s="23" t="s">
        <v>92</v>
      </c>
      <c r="C37" s="25">
        <f>SUM(C34:C36)</f>
        <v>548809</v>
      </c>
      <c r="D37" s="21"/>
      <c r="K37" s="2"/>
    </row>
    <row r="38" spans="1:11" ht="51" customHeight="1" x14ac:dyDescent="0.3">
      <c r="B38" s="23" t="s">
        <v>46</v>
      </c>
      <c r="C38" s="27"/>
      <c r="D38" s="2">
        <f>C37-H34</f>
        <v>44158.510800000164</v>
      </c>
      <c r="K38" s="2"/>
    </row>
    <row r="39" spans="1:11" ht="51" customHeight="1" x14ac:dyDescent="0.3">
      <c r="B39" s="23" t="s">
        <v>47</v>
      </c>
      <c r="C39" s="27"/>
      <c r="D39" s="24">
        <f>D38/29</f>
        <v>1522.7072689655229</v>
      </c>
      <c r="K39" s="2"/>
    </row>
    <row r="40" spans="1:11" ht="51" customHeight="1" x14ac:dyDescent="0.3">
      <c r="C40" s="37"/>
    </row>
    <row r="41" spans="1:11" ht="51" customHeight="1" x14ac:dyDescent="0.3">
      <c r="C41" s="37"/>
    </row>
    <row r="42" spans="1:11" ht="51" customHeight="1" x14ac:dyDescent="0.3">
      <c r="C42" s="37"/>
    </row>
    <row r="43" spans="1:11" ht="51" customHeight="1" x14ac:dyDescent="0.3">
      <c r="C43" s="37"/>
    </row>
    <row r="44" spans="1:11" ht="51" customHeight="1" x14ac:dyDescent="0.3">
      <c r="C44" s="37"/>
    </row>
    <row r="45" spans="1:11" ht="51" customHeight="1" x14ac:dyDescent="0.3">
      <c r="C45" s="37"/>
    </row>
    <row r="46" spans="1:11" ht="51" customHeight="1" x14ac:dyDescent="0.3">
      <c r="C46" s="37"/>
    </row>
    <row r="47" spans="1:11" ht="51" customHeight="1" x14ac:dyDescent="0.3">
      <c r="C47" s="37"/>
    </row>
    <row r="48" spans="1:11" ht="51" customHeight="1" x14ac:dyDescent="0.3">
      <c r="C48" s="37"/>
    </row>
    <row r="49" spans="1:11" ht="51" customHeight="1" x14ac:dyDescent="0.3">
      <c r="C49" s="37"/>
    </row>
    <row r="50" spans="1:11" s="28" customFormat="1" ht="51" customHeight="1" x14ac:dyDescent="0.3">
      <c r="A50" s="17"/>
      <c r="B50" s="23"/>
      <c r="C50" s="37"/>
      <c r="E50" s="23"/>
      <c r="F50" s="23"/>
      <c r="G50" s="23"/>
      <c r="H50" s="23"/>
      <c r="I50" s="23"/>
      <c r="J50" s="23"/>
      <c r="K50" s="23"/>
    </row>
    <row r="51" spans="1:11" s="28" customFormat="1" ht="51" customHeight="1" x14ac:dyDescent="0.3">
      <c r="A51" s="17"/>
      <c r="B51" s="23"/>
      <c r="C51" s="37"/>
      <c r="E51" s="23"/>
      <c r="F51" s="23"/>
      <c r="G51" s="23"/>
      <c r="H51" s="23"/>
      <c r="I51" s="23"/>
      <c r="J51" s="23"/>
      <c r="K51" s="23"/>
    </row>
    <row r="52" spans="1:11" s="28" customFormat="1" ht="51" customHeight="1" x14ac:dyDescent="0.3">
      <c r="A52" s="17"/>
      <c r="B52" s="23"/>
      <c r="C52" s="37"/>
      <c r="E52" s="23"/>
      <c r="F52" s="23"/>
      <c r="G52" s="23"/>
      <c r="H52" s="23"/>
      <c r="I52" s="23"/>
      <c r="J52" s="23"/>
      <c r="K52" s="23"/>
    </row>
    <row r="53" spans="1:11" s="28" customFormat="1" ht="51" customHeight="1" x14ac:dyDescent="0.3">
      <c r="A53" s="17"/>
      <c r="B53" s="23"/>
      <c r="C53" s="37"/>
      <c r="E53" s="23"/>
      <c r="F53" s="23"/>
      <c r="G53" s="23"/>
      <c r="H53" s="23"/>
      <c r="I53" s="23"/>
      <c r="J53" s="23"/>
      <c r="K53" s="23"/>
    </row>
    <row r="54" spans="1:11" s="28" customFormat="1" ht="51" customHeight="1" x14ac:dyDescent="0.3">
      <c r="A54" s="17"/>
      <c r="B54" s="23"/>
      <c r="C54" s="37"/>
      <c r="E54" s="23"/>
      <c r="F54" s="23"/>
      <c r="G54" s="23"/>
      <c r="H54" s="23"/>
      <c r="I54" s="23"/>
      <c r="J54" s="23"/>
      <c r="K54" s="23"/>
    </row>
    <row r="55" spans="1:11" s="28" customFormat="1" ht="51" customHeight="1" x14ac:dyDescent="0.3">
      <c r="A55" s="17"/>
      <c r="B55" s="23"/>
      <c r="C55" s="37"/>
      <c r="E55" s="23"/>
      <c r="F55" s="23"/>
      <c r="G55" s="23"/>
      <c r="H55" s="23"/>
      <c r="I55" s="23"/>
      <c r="J55" s="23"/>
      <c r="K55" s="23"/>
    </row>
  </sheetData>
  <autoFilter ref="A1:K38" xr:uid="{AECC6E71-D28E-4DEC-90E2-87CA68CAD0AB}"/>
  <pageMargins left="0.7" right="0.7" top="0.75" bottom="0.75" header="0.3" footer="0.3"/>
  <pageSetup paperSize="9" orientation="portrait" r:id="rId1"/>
  <headerFooter>
    <oddHeader>&amp;CLECTURA DE MEDIDORES DE AGUA
BARRIO TRANSITORIO 13 DE MAYO&amp;RFECHA: _______________</oddHeader>
    <oddFooter>&amp;CCOMITÉ DE ADELANTO Y DESARROLLO 13 DE MAYO DE ANTOFAGASTA
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FD0F-1D3E-4D3D-962A-B490336FA4BF}">
  <dimension ref="A1:K75"/>
  <sheetViews>
    <sheetView tabSelected="1" workbookViewId="0">
      <selection activeCell="D9" sqref="D9"/>
    </sheetView>
  </sheetViews>
  <sheetFormatPr baseColWidth="10" defaultRowHeight="14.4" x14ac:dyDescent="0.3"/>
  <cols>
    <col min="2" max="2" width="42.21875" customWidth="1"/>
    <col min="9" max="9" width="11.5546875" customWidth="1"/>
  </cols>
  <sheetData>
    <row r="1" spans="1:11" x14ac:dyDescent="0.3">
      <c r="A1" t="s">
        <v>0</v>
      </c>
      <c r="B1" t="s">
        <v>31</v>
      </c>
      <c r="C1" t="s">
        <v>48</v>
      </c>
      <c r="D1" t="s">
        <v>35</v>
      </c>
      <c r="E1" t="s">
        <v>30</v>
      </c>
      <c r="F1" t="s">
        <v>38</v>
      </c>
      <c r="G1" t="s">
        <v>39</v>
      </c>
      <c r="H1" t="s">
        <v>40</v>
      </c>
      <c r="I1" t="s">
        <v>41</v>
      </c>
      <c r="J1" s="48" t="s">
        <v>42</v>
      </c>
      <c r="K1" s="48" t="s">
        <v>105</v>
      </c>
    </row>
    <row r="2" spans="1:11" x14ac:dyDescent="0.3">
      <c r="A2">
        <v>1</v>
      </c>
      <c r="B2" t="s">
        <v>1</v>
      </c>
      <c r="C2">
        <v>106122</v>
      </c>
      <c r="D2">
        <v>185.108</v>
      </c>
      <c r="E2">
        <v>198.23</v>
      </c>
      <c r="F2">
        <v>13.121999999999986</v>
      </c>
      <c r="G2">
        <v>2197.4</v>
      </c>
      <c r="H2">
        <v>28834.282799999968</v>
      </c>
      <c r="I2" s="48">
        <v>809.26773000000105</v>
      </c>
      <c r="J2" s="48">
        <v>7000</v>
      </c>
      <c r="K2" s="48">
        <v>36643.550529999964</v>
      </c>
    </row>
    <row r="3" spans="1:11" x14ac:dyDescent="0.3">
      <c r="A3">
        <v>2</v>
      </c>
      <c r="B3" t="s">
        <v>2</v>
      </c>
      <c r="C3">
        <v>106124</v>
      </c>
      <c r="D3">
        <v>40.438000000000002</v>
      </c>
      <c r="E3">
        <v>43.276000000000003</v>
      </c>
      <c r="F3">
        <v>2.838000000000001</v>
      </c>
      <c r="G3">
        <v>2197.4</v>
      </c>
      <c r="H3">
        <v>6236.2212000000027</v>
      </c>
      <c r="I3" s="48">
        <v>809.26773000000105</v>
      </c>
      <c r="J3" s="48">
        <v>7000</v>
      </c>
      <c r="K3" s="48">
        <v>14045.488930000003</v>
      </c>
    </row>
    <row r="4" spans="1:11" x14ac:dyDescent="0.3">
      <c r="A4">
        <v>3</v>
      </c>
      <c r="B4" t="s">
        <v>3</v>
      </c>
      <c r="C4">
        <v>106126</v>
      </c>
      <c r="D4">
        <v>45.893000000000001</v>
      </c>
      <c r="E4">
        <v>51.119</v>
      </c>
      <c r="F4">
        <v>5.2259999999999991</v>
      </c>
      <c r="G4">
        <v>2197.4</v>
      </c>
      <c r="H4">
        <v>11483.612399999998</v>
      </c>
      <c r="I4" s="48">
        <v>809.26773000000105</v>
      </c>
      <c r="J4" s="48">
        <v>7000</v>
      </c>
      <c r="K4" s="48">
        <v>19292.880129999998</v>
      </c>
    </row>
    <row r="5" spans="1:11" x14ac:dyDescent="0.3">
      <c r="A5">
        <v>7</v>
      </c>
      <c r="B5" t="s">
        <v>4</v>
      </c>
      <c r="C5">
        <v>106132</v>
      </c>
      <c r="D5">
        <v>50.991</v>
      </c>
      <c r="E5">
        <v>56.353999999999999</v>
      </c>
      <c r="F5">
        <v>5.3629999999999995</v>
      </c>
      <c r="G5">
        <v>2197.4</v>
      </c>
      <c r="H5">
        <v>11784.656199999999</v>
      </c>
      <c r="I5" s="48">
        <v>809.26773000000105</v>
      </c>
      <c r="J5" s="48">
        <v>7000</v>
      </c>
      <c r="K5" s="48">
        <v>19593.923930000001</v>
      </c>
    </row>
    <row r="6" spans="1:11" x14ac:dyDescent="0.3">
      <c r="A6">
        <v>10</v>
      </c>
      <c r="B6" t="s">
        <v>5</v>
      </c>
      <c r="C6">
        <v>106224</v>
      </c>
      <c r="D6">
        <v>161.33099999999999</v>
      </c>
      <c r="E6">
        <v>175.02199999999999</v>
      </c>
      <c r="F6">
        <v>13.691000000000003</v>
      </c>
      <c r="G6">
        <v>2197.4</v>
      </c>
      <c r="H6">
        <v>30084.603400000007</v>
      </c>
      <c r="I6" s="48">
        <v>809.26773000000105</v>
      </c>
      <c r="J6" s="48">
        <v>7000</v>
      </c>
      <c r="K6" s="48">
        <v>37893.871130000007</v>
      </c>
    </row>
    <row r="7" spans="1:11" x14ac:dyDescent="0.3">
      <c r="A7">
        <v>11</v>
      </c>
      <c r="B7" t="s">
        <v>6</v>
      </c>
      <c r="C7">
        <v>104750</v>
      </c>
      <c r="D7">
        <v>206.42</v>
      </c>
      <c r="E7">
        <v>231.511</v>
      </c>
      <c r="F7">
        <v>25.091000000000008</v>
      </c>
      <c r="G7">
        <v>2197.4</v>
      </c>
      <c r="H7">
        <v>55134.963400000022</v>
      </c>
      <c r="I7" s="48">
        <v>809.26773000000105</v>
      </c>
      <c r="J7" s="48">
        <v>7000</v>
      </c>
      <c r="K7" s="48">
        <v>62944.231130000022</v>
      </c>
    </row>
    <row r="8" spans="1:11" x14ac:dyDescent="0.3">
      <c r="A8">
        <v>12</v>
      </c>
      <c r="B8" t="s">
        <v>7</v>
      </c>
      <c r="C8">
        <v>104761</v>
      </c>
      <c r="D8">
        <v>10.555999999999999</v>
      </c>
      <c r="E8">
        <v>15.74</v>
      </c>
      <c r="F8">
        <v>5.1840000000000011</v>
      </c>
      <c r="G8">
        <v>2197.4</v>
      </c>
      <c r="H8">
        <v>11391.321600000003</v>
      </c>
      <c r="I8" s="48">
        <v>809.26773000000105</v>
      </c>
      <c r="J8" s="48">
        <v>7000</v>
      </c>
      <c r="K8" s="48">
        <v>19200.589330000003</v>
      </c>
    </row>
    <row r="9" spans="1:11" x14ac:dyDescent="0.3">
      <c r="A9">
        <v>13</v>
      </c>
      <c r="B9" t="s">
        <v>8</v>
      </c>
      <c r="C9">
        <v>106226</v>
      </c>
      <c r="D9">
        <v>72.816000000000003</v>
      </c>
      <c r="E9">
        <v>83.41</v>
      </c>
      <c r="F9">
        <v>10.593999999999994</v>
      </c>
      <c r="G9">
        <v>2197.4</v>
      </c>
      <c r="H9">
        <v>23279.255599999989</v>
      </c>
      <c r="I9" s="48">
        <v>809.26773000000105</v>
      </c>
      <c r="J9" s="48">
        <v>7000</v>
      </c>
      <c r="K9" s="48">
        <v>31088.523329999989</v>
      </c>
    </row>
    <row r="10" spans="1:11" x14ac:dyDescent="0.3">
      <c r="A10">
        <v>14</v>
      </c>
      <c r="B10" t="s">
        <v>9</v>
      </c>
      <c r="C10">
        <v>104746</v>
      </c>
      <c r="D10">
        <v>74.055999999999997</v>
      </c>
      <c r="E10">
        <v>81.578000000000003</v>
      </c>
      <c r="F10">
        <v>7.5220000000000056</v>
      </c>
      <c r="G10">
        <v>2197.4</v>
      </c>
      <c r="H10">
        <v>16528.842800000013</v>
      </c>
      <c r="I10" s="48">
        <v>809.26773000000105</v>
      </c>
      <c r="J10" s="48">
        <v>9163</v>
      </c>
      <c r="K10" s="48">
        <v>26501.110530000013</v>
      </c>
    </row>
    <row r="11" spans="1:11" x14ac:dyDescent="0.3">
      <c r="A11">
        <v>15</v>
      </c>
      <c r="B11" t="s">
        <v>10</v>
      </c>
      <c r="C11">
        <v>104744</v>
      </c>
      <c r="D11">
        <v>60.896999999999998</v>
      </c>
      <c r="E11">
        <v>68.769000000000005</v>
      </c>
      <c r="F11">
        <v>7.872000000000007</v>
      </c>
      <c r="G11">
        <v>2197.4</v>
      </c>
      <c r="H11">
        <v>17297.932800000017</v>
      </c>
      <c r="I11" s="48">
        <v>809.26773000000105</v>
      </c>
      <c r="J11" s="48">
        <v>7000</v>
      </c>
      <c r="K11" s="48">
        <v>25107.200530000016</v>
      </c>
    </row>
    <row r="12" spans="1:11" x14ac:dyDescent="0.3">
      <c r="A12">
        <v>16</v>
      </c>
      <c r="B12" t="s">
        <v>11</v>
      </c>
      <c r="C12">
        <v>104747</v>
      </c>
      <c r="D12">
        <v>129.29</v>
      </c>
      <c r="E12">
        <v>143.185</v>
      </c>
      <c r="F12">
        <v>13.89500000000001</v>
      </c>
      <c r="G12">
        <v>2197.4</v>
      </c>
      <c r="H12">
        <v>30532.873000000025</v>
      </c>
      <c r="I12" s="48">
        <v>809.26773000000105</v>
      </c>
      <c r="J12" s="48">
        <v>7000</v>
      </c>
      <c r="K12" s="48">
        <v>38342.140730000028</v>
      </c>
    </row>
    <row r="13" spans="1:11" x14ac:dyDescent="0.3">
      <c r="A13">
        <v>17</v>
      </c>
      <c r="B13" t="s">
        <v>12</v>
      </c>
      <c r="C13">
        <v>104748</v>
      </c>
      <c r="D13">
        <v>25.122</v>
      </c>
      <c r="E13">
        <v>27.831</v>
      </c>
      <c r="F13">
        <v>2.7089999999999996</v>
      </c>
      <c r="G13">
        <v>2197.4</v>
      </c>
      <c r="H13">
        <v>5952.7565999999997</v>
      </c>
      <c r="I13" s="48">
        <v>809.26773000000105</v>
      </c>
      <c r="J13" s="48">
        <v>7000</v>
      </c>
      <c r="K13" s="48">
        <v>13762.02433</v>
      </c>
    </row>
    <row r="14" spans="1:11" x14ac:dyDescent="0.3">
      <c r="A14">
        <v>18</v>
      </c>
      <c r="B14" t="s">
        <v>49</v>
      </c>
      <c r="C14">
        <v>104770</v>
      </c>
      <c r="D14">
        <v>65.084999999999994</v>
      </c>
      <c r="E14">
        <v>76.149000000000001</v>
      </c>
      <c r="F14">
        <v>11.064000000000007</v>
      </c>
      <c r="G14">
        <v>2197.4</v>
      </c>
      <c r="H14">
        <v>24312.033600000017</v>
      </c>
      <c r="I14" s="48">
        <v>809.26773000000105</v>
      </c>
      <c r="J14" s="48">
        <v>7000</v>
      </c>
      <c r="K14" s="48">
        <v>32121.301330000017</v>
      </c>
    </row>
    <row r="15" spans="1:11" x14ac:dyDescent="0.3">
      <c r="A15">
        <v>19</v>
      </c>
      <c r="B15" t="s">
        <v>13</v>
      </c>
      <c r="C15">
        <v>104741</v>
      </c>
      <c r="D15">
        <v>23.498999999999999</v>
      </c>
      <c r="E15">
        <v>28.012</v>
      </c>
      <c r="F15">
        <v>4.5130000000000017</v>
      </c>
      <c r="G15">
        <v>2197.4</v>
      </c>
      <c r="H15">
        <v>9916.866200000004</v>
      </c>
      <c r="I15" s="48">
        <v>809.26773000000105</v>
      </c>
      <c r="J15" s="48">
        <v>7000</v>
      </c>
      <c r="K15" s="48">
        <v>17726.133930000004</v>
      </c>
    </row>
    <row r="16" spans="1:11" x14ac:dyDescent="0.3">
      <c r="A16">
        <v>20</v>
      </c>
      <c r="B16" t="s">
        <v>14</v>
      </c>
      <c r="C16">
        <v>106223</v>
      </c>
      <c r="D16">
        <v>42.255000000000003</v>
      </c>
      <c r="E16">
        <v>45.942</v>
      </c>
      <c r="F16">
        <v>3.6869999999999976</v>
      </c>
      <c r="G16">
        <v>2197.4</v>
      </c>
      <c r="H16">
        <v>8101.8137999999954</v>
      </c>
      <c r="I16" s="48">
        <v>809.26773000000105</v>
      </c>
      <c r="J16" s="48">
        <v>7000</v>
      </c>
      <c r="K16" s="48">
        <v>15911.081529999996</v>
      </c>
    </row>
    <row r="17" spans="1:11" x14ac:dyDescent="0.3">
      <c r="A17">
        <v>21</v>
      </c>
      <c r="B17" t="s">
        <v>15</v>
      </c>
      <c r="C17">
        <v>106230</v>
      </c>
      <c r="D17">
        <v>18.419</v>
      </c>
      <c r="E17">
        <v>21.382000000000001</v>
      </c>
      <c r="F17">
        <v>2.963000000000001</v>
      </c>
      <c r="G17">
        <v>2197.4</v>
      </c>
      <c r="H17">
        <v>6510.896200000002</v>
      </c>
      <c r="I17" s="48">
        <v>809.26773000000105</v>
      </c>
      <c r="J17" s="48">
        <v>7000</v>
      </c>
      <c r="K17" s="48">
        <v>14320.163930000002</v>
      </c>
    </row>
    <row r="18" spans="1:11" x14ac:dyDescent="0.3">
      <c r="A18">
        <v>22</v>
      </c>
      <c r="B18" t="s">
        <v>16</v>
      </c>
      <c r="C18">
        <v>106136</v>
      </c>
      <c r="D18">
        <v>18.791</v>
      </c>
      <c r="E18">
        <v>20.297999999999998</v>
      </c>
      <c r="F18">
        <v>1.5069999999999979</v>
      </c>
      <c r="G18">
        <v>2197.4</v>
      </c>
      <c r="H18">
        <v>3311.4817999999955</v>
      </c>
      <c r="I18" s="48">
        <v>809.26773000000105</v>
      </c>
      <c r="J18" s="48">
        <v>7000</v>
      </c>
      <c r="K18" s="48">
        <v>11120.749529999997</v>
      </c>
    </row>
    <row r="19" spans="1:11" x14ac:dyDescent="0.3">
      <c r="A19">
        <v>23</v>
      </c>
      <c r="B19" t="s">
        <v>93</v>
      </c>
      <c r="C19">
        <v>106225</v>
      </c>
      <c r="D19">
        <v>1.385</v>
      </c>
      <c r="E19">
        <v>1.385</v>
      </c>
      <c r="F19">
        <v>0</v>
      </c>
      <c r="G19">
        <v>2197.4</v>
      </c>
      <c r="H19">
        <v>0</v>
      </c>
      <c r="I19" s="48">
        <v>0</v>
      </c>
      <c r="J19" s="48">
        <v>0</v>
      </c>
      <c r="K19" s="48">
        <v>0</v>
      </c>
    </row>
    <row r="20" spans="1:11" x14ac:dyDescent="0.3">
      <c r="A20">
        <v>25</v>
      </c>
      <c r="B20" t="s">
        <v>17</v>
      </c>
      <c r="C20">
        <v>104745</v>
      </c>
      <c r="D20">
        <v>135.71199999999999</v>
      </c>
      <c r="E20">
        <v>154.40299999999999</v>
      </c>
      <c r="F20">
        <v>18.691000000000003</v>
      </c>
      <c r="G20">
        <v>2197.4</v>
      </c>
      <c r="H20">
        <v>41071.603400000007</v>
      </c>
      <c r="I20" s="48">
        <v>809.26773000000105</v>
      </c>
      <c r="J20" s="48">
        <v>7000</v>
      </c>
      <c r="K20" s="48">
        <v>48880.871130000007</v>
      </c>
    </row>
    <row r="21" spans="1:11" x14ac:dyDescent="0.3">
      <c r="A21">
        <v>26</v>
      </c>
      <c r="B21" t="s">
        <v>18</v>
      </c>
      <c r="C21">
        <v>104743</v>
      </c>
      <c r="D21">
        <v>115.661</v>
      </c>
      <c r="E21">
        <v>125.33199999999999</v>
      </c>
      <c r="F21">
        <v>9.6709999999999923</v>
      </c>
      <c r="G21">
        <v>2197.4</v>
      </c>
      <c r="H21">
        <v>21251.055399999983</v>
      </c>
      <c r="I21" s="48">
        <v>809.26773000000105</v>
      </c>
      <c r="J21" s="48">
        <v>7000</v>
      </c>
      <c r="K21" s="48">
        <v>29060.323129999982</v>
      </c>
    </row>
    <row r="22" spans="1:11" x14ac:dyDescent="0.3">
      <c r="A22">
        <v>27</v>
      </c>
      <c r="B22" t="s">
        <v>19</v>
      </c>
      <c r="C22">
        <v>104749</v>
      </c>
      <c r="D22">
        <v>56.557000000000002</v>
      </c>
      <c r="E22">
        <v>62.795000000000002</v>
      </c>
      <c r="F22">
        <v>6.2379999999999995</v>
      </c>
      <c r="G22">
        <v>2197.4</v>
      </c>
      <c r="H22">
        <v>13707.3812</v>
      </c>
      <c r="I22" s="48">
        <v>809.26773000000105</v>
      </c>
      <c r="J22" s="48">
        <v>7000</v>
      </c>
      <c r="K22" s="48">
        <v>21516.648930000003</v>
      </c>
    </row>
    <row r="23" spans="1:11" x14ac:dyDescent="0.3">
      <c r="A23">
        <v>28</v>
      </c>
      <c r="B23" t="s">
        <v>20</v>
      </c>
      <c r="C23">
        <v>104742</v>
      </c>
      <c r="D23">
        <v>15.156000000000001</v>
      </c>
      <c r="E23">
        <v>21.227</v>
      </c>
      <c r="F23">
        <v>6.0709999999999997</v>
      </c>
      <c r="G23">
        <v>2197.4</v>
      </c>
      <c r="H23">
        <v>13340.4154</v>
      </c>
      <c r="I23" s="48">
        <v>809.26773000000105</v>
      </c>
      <c r="J23" s="48">
        <v>7000</v>
      </c>
      <c r="K23" s="48">
        <v>21149.683130000001</v>
      </c>
    </row>
    <row r="24" spans="1:11" x14ac:dyDescent="0.3">
      <c r="A24">
        <v>29</v>
      </c>
      <c r="B24" t="s">
        <v>52</v>
      </c>
      <c r="C24">
        <v>105563</v>
      </c>
      <c r="D24">
        <v>55.212000000000003</v>
      </c>
      <c r="E24">
        <v>68.533000000000001</v>
      </c>
      <c r="F24">
        <v>13.320999999999998</v>
      </c>
      <c r="G24">
        <v>2197.4</v>
      </c>
      <c r="H24">
        <v>29271.565399999996</v>
      </c>
      <c r="I24" s="48">
        <v>1522.7072689655229</v>
      </c>
      <c r="J24">
        <v>7000</v>
      </c>
      <c r="K24" s="48">
        <v>37794.272668965517</v>
      </c>
    </row>
    <row r="25" spans="1:11" x14ac:dyDescent="0.3">
      <c r="A25">
        <v>30</v>
      </c>
      <c r="B25" t="s">
        <v>94</v>
      </c>
      <c r="C25">
        <v>105536</v>
      </c>
      <c r="D25">
        <v>1.694</v>
      </c>
      <c r="E25">
        <v>4.6740000000000004</v>
      </c>
      <c r="F25">
        <v>2.9800000000000004</v>
      </c>
      <c r="G25">
        <v>2197.4</v>
      </c>
      <c r="H25">
        <v>6548.2520000000013</v>
      </c>
      <c r="I25" s="48">
        <v>1522.7072689655229</v>
      </c>
      <c r="J25">
        <v>0</v>
      </c>
      <c r="K25" s="48">
        <v>8070.9592689655237</v>
      </c>
    </row>
    <row r="26" spans="1:11" x14ac:dyDescent="0.3">
      <c r="A26">
        <v>31</v>
      </c>
      <c r="B26" t="s">
        <v>53</v>
      </c>
      <c r="C26">
        <v>105567</v>
      </c>
      <c r="D26">
        <v>22.780999999999999</v>
      </c>
      <c r="E26">
        <v>27.192</v>
      </c>
      <c r="F26">
        <v>4.4110000000000014</v>
      </c>
      <c r="G26">
        <v>2197.4</v>
      </c>
      <c r="H26">
        <v>9692.7314000000042</v>
      </c>
      <c r="I26" s="48">
        <v>1522.7072689655229</v>
      </c>
      <c r="J26">
        <v>7000</v>
      </c>
      <c r="K26" s="48">
        <v>18215.438668965529</v>
      </c>
    </row>
    <row r="27" spans="1:11" x14ac:dyDescent="0.3">
      <c r="A27">
        <v>32</v>
      </c>
      <c r="B27" t="s">
        <v>54</v>
      </c>
      <c r="C27">
        <v>106175</v>
      </c>
      <c r="D27">
        <v>37.512</v>
      </c>
      <c r="E27">
        <v>45.2</v>
      </c>
      <c r="F27">
        <v>7.6880000000000024</v>
      </c>
      <c r="G27">
        <v>2197.4</v>
      </c>
      <c r="H27">
        <v>16893.611200000007</v>
      </c>
      <c r="I27" s="48">
        <v>1522.7072689655229</v>
      </c>
      <c r="J27">
        <v>7000</v>
      </c>
      <c r="K27" s="48">
        <v>25416.318468965528</v>
      </c>
    </row>
    <row r="28" spans="1:11" x14ac:dyDescent="0.3">
      <c r="A28">
        <v>33</v>
      </c>
      <c r="B28" t="s">
        <v>55</v>
      </c>
      <c r="C28">
        <v>105518</v>
      </c>
      <c r="D28">
        <v>35.880000000000003</v>
      </c>
      <c r="E28">
        <v>43.634</v>
      </c>
      <c r="F28">
        <v>7.7539999999999978</v>
      </c>
      <c r="G28">
        <v>2197.4</v>
      </c>
      <c r="H28">
        <v>17038.639599999995</v>
      </c>
      <c r="I28" s="48">
        <v>1522.7072689655229</v>
      </c>
      <c r="J28">
        <v>7000</v>
      </c>
      <c r="K28" s="48">
        <v>25561.346868965516</v>
      </c>
    </row>
    <row r="29" spans="1:11" x14ac:dyDescent="0.3">
      <c r="A29">
        <v>34</v>
      </c>
      <c r="B29" t="s">
        <v>56</v>
      </c>
      <c r="C29">
        <v>105553</v>
      </c>
      <c r="D29">
        <v>26.425000000000001</v>
      </c>
      <c r="E29">
        <v>29.966999999999999</v>
      </c>
      <c r="F29">
        <v>3.541999999999998</v>
      </c>
      <c r="G29">
        <v>2197.4</v>
      </c>
      <c r="H29">
        <v>7783.1907999999958</v>
      </c>
      <c r="I29" s="48">
        <v>1522.7072689655229</v>
      </c>
      <c r="J29">
        <v>7000</v>
      </c>
      <c r="K29" s="48">
        <v>16305.898068965518</v>
      </c>
    </row>
    <row r="30" spans="1:11" x14ac:dyDescent="0.3">
      <c r="A30">
        <v>36</v>
      </c>
      <c r="B30" t="s">
        <v>57</v>
      </c>
      <c r="C30">
        <v>105568</v>
      </c>
      <c r="D30">
        <v>19.379000000000001</v>
      </c>
      <c r="E30">
        <v>23.751999999999999</v>
      </c>
      <c r="F30">
        <v>4.3729999999999976</v>
      </c>
      <c r="G30">
        <v>2197.4</v>
      </c>
      <c r="H30">
        <v>9609.2301999999945</v>
      </c>
      <c r="I30" s="48">
        <v>1522.7072689655229</v>
      </c>
      <c r="J30">
        <v>7000</v>
      </c>
      <c r="K30" s="48">
        <v>18131.937468965516</v>
      </c>
    </row>
    <row r="31" spans="1:11" x14ac:dyDescent="0.3">
      <c r="A31">
        <v>37</v>
      </c>
      <c r="B31" t="s">
        <v>58</v>
      </c>
      <c r="C31">
        <v>105552</v>
      </c>
      <c r="D31">
        <v>33.706000000000003</v>
      </c>
      <c r="E31">
        <v>39.133000000000003</v>
      </c>
      <c r="F31">
        <v>5.4269999999999996</v>
      </c>
      <c r="G31">
        <v>2197.4</v>
      </c>
      <c r="H31">
        <v>11925.2898</v>
      </c>
      <c r="I31" s="48">
        <v>1522.7072689655229</v>
      </c>
      <c r="J31">
        <v>7000</v>
      </c>
      <c r="K31" s="48">
        <v>20447.997068965524</v>
      </c>
    </row>
    <row r="32" spans="1:11" x14ac:dyDescent="0.3">
      <c r="A32">
        <v>38</v>
      </c>
      <c r="B32" t="s">
        <v>59</v>
      </c>
      <c r="C32">
        <v>105564</v>
      </c>
      <c r="D32">
        <v>29.765000000000001</v>
      </c>
      <c r="E32">
        <v>35.857999999999997</v>
      </c>
      <c r="F32">
        <v>6.0929999999999964</v>
      </c>
      <c r="G32">
        <v>2197.4</v>
      </c>
      <c r="H32">
        <v>13388.758199999993</v>
      </c>
      <c r="I32" s="48">
        <v>1522.7072689655229</v>
      </c>
      <c r="J32">
        <v>7000</v>
      </c>
      <c r="K32" s="48">
        <v>21911.465468965514</v>
      </c>
    </row>
    <row r="33" spans="1:11" x14ac:dyDescent="0.3">
      <c r="A33">
        <v>39</v>
      </c>
      <c r="B33" t="s">
        <v>60</v>
      </c>
      <c r="C33">
        <v>105551</v>
      </c>
      <c r="D33">
        <v>42.648000000000003</v>
      </c>
      <c r="E33">
        <v>48.49</v>
      </c>
      <c r="F33">
        <v>5.8419999999999987</v>
      </c>
      <c r="G33">
        <v>2197.4</v>
      </c>
      <c r="H33">
        <v>12837.210799999997</v>
      </c>
      <c r="I33" s="48">
        <v>1522.7072689655229</v>
      </c>
      <c r="J33">
        <v>7000</v>
      </c>
      <c r="K33" s="48">
        <v>21359.918068965519</v>
      </c>
    </row>
    <row r="34" spans="1:11" x14ac:dyDescent="0.3">
      <c r="A34">
        <v>40</v>
      </c>
      <c r="B34" t="s">
        <v>61</v>
      </c>
      <c r="C34">
        <v>105512</v>
      </c>
      <c r="D34">
        <v>34.222999999999999</v>
      </c>
      <c r="E34">
        <v>42.643999999999998</v>
      </c>
      <c r="F34">
        <v>8.4209999999999994</v>
      </c>
      <c r="G34">
        <v>2197.4</v>
      </c>
      <c r="H34">
        <v>18504.305400000001</v>
      </c>
      <c r="I34" s="48">
        <v>1522.7072689655229</v>
      </c>
      <c r="J34">
        <v>7000</v>
      </c>
      <c r="K34" s="48">
        <v>27027.012668965523</v>
      </c>
    </row>
    <row r="35" spans="1:11" x14ac:dyDescent="0.3">
      <c r="A35">
        <v>41</v>
      </c>
      <c r="B35" t="s">
        <v>62</v>
      </c>
      <c r="C35">
        <v>105565</v>
      </c>
      <c r="D35">
        <v>13.898999999999999</v>
      </c>
      <c r="E35">
        <v>17.423999999999999</v>
      </c>
      <c r="F35">
        <v>3.5250000000000004</v>
      </c>
      <c r="G35">
        <v>2197.4</v>
      </c>
      <c r="H35">
        <v>7745.8350000000009</v>
      </c>
      <c r="I35" s="48">
        <v>1522.7072689655229</v>
      </c>
      <c r="J35">
        <v>7000</v>
      </c>
      <c r="K35" s="48">
        <v>16268.542268965524</v>
      </c>
    </row>
    <row r="36" spans="1:11" x14ac:dyDescent="0.3">
      <c r="A36">
        <v>42</v>
      </c>
      <c r="B36" t="s">
        <v>63</v>
      </c>
      <c r="C36">
        <v>105517</v>
      </c>
      <c r="D36">
        <v>51.798000000000002</v>
      </c>
      <c r="E36">
        <v>63.371000000000002</v>
      </c>
      <c r="F36">
        <v>11.573</v>
      </c>
      <c r="G36">
        <v>2197.4</v>
      </c>
      <c r="H36">
        <v>25430.510200000001</v>
      </c>
      <c r="I36" s="48">
        <v>1522.7072689655229</v>
      </c>
      <c r="J36">
        <v>7000</v>
      </c>
      <c r="K36" s="48">
        <v>33953.217468965522</v>
      </c>
    </row>
    <row r="37" spans="1:11" x14ac:dyDescent="0.3">
      <c r="A37">
        <v>43</v>
      </c>
      <c r="B37" t="s">
        <v>64</v>
      </c>
      <c r="C37">
        <v>105558</v>
      </c>
      <c r="D37">
        <v>40.595999999999997</v>
      </c>
      <c r="E37">
        <v>45.826000000000001</v>
      </c>
      <c r="F37">
        <v>5.230000000000004</v>
      </c>
      <c r="G37">
        <v>2197.4</v>
      </c>
      <c r="H37">
        <v>11492.402000000009</v>
      </c>
      <c r="I37" s="48">
        <v>1522.7072689655229</v>
      </c>
      <c r="J37">
        <v>7000</v>
      </c>
      <c r="K37" s="48">
        <v>20015.109268965534</v>
      </c>
    </row>
    <row r="38" spans="1:11" x14ac:dyDescent="0.3">
      <c r="A38">
        <v>44</v>
      </c>
      <c r="B38" t="s">
        <v>65</v>
      </c>
      <c r="C38">
        <v>105556</v>
      </c>
      <c r="D38">
        <v>44.453000000000003</v>
      </c>
      <c r="E38">
        <v>53.107999999999997</v>
      </c>
      <c r="F38">
        <v>8.654999999999994</v>
      </c>
      <c r="G38">
        <v>2197.4</v>
      </c>
      <c r="H38">
        <v>19018.496999999988</v>
      </c>
      <c r="I38" s="48">
        <v>1522.7072689655229</v>
      </c>
      <c r="J38">
        <v>7000</v>
      </c>
      <c r="K38" s="48">
        <v>27541.20426896551</v>
      </c>
    </row>
    <row r="39" spans="1:11" x14ac:dyDescent="0.3">
      <c r="A39">
        <v>50</v>
      </c>
      <c r="B39" t="s">
        <v>66</v>
      </c>
      <c r="C39">
        <v>105516</v>
      </c>
      <c r="D39">
        <v>31.956</v>
      </c>
      <c r="E39">
        <v>37.694000000000003</v>
      </c>
      <c r="F39">
        <v>5.7380000000000031</v>
      </c>
      <c r="G39">
        <v>2197.4</v>
      </c>
      <c r="H39">
        <v>12608.681200000008</v>
      </c>
      <c r="I39" s="48">
        <v>1522.7072689655229</v>
      </c>
      <c r="J39">
        <v>7000</v>
      </c>
      <c r="K39" s="48">
        <v>21131.388468965532</v>
      </c>
    </row>
    <row r="40" spans="1:11" x14ac:dyDescent="0.3">
      <c r="A40">
        <v>58</v>
      </c>
      <c r="B40" t="s">
        <v>67</v>
      </c>
      <c r="C40">
        <v>106726</v>
      </c>
      <c r="D40">
        <v>61.136000000000003</v>
      </c>
      <c r="E40">
        <v>68.819999999999993</v>
      </c>
      <c r="F40">
        <v>7.6839999999999904</v>
      </c>
      <c r="G40">
        <v>2197.4</v>
      </c>
      <c r="H40">
        <v>16884.821599999981</v>
      </c>
      <c r="I40" s="48">
        <v>1522.7072689655229</v>
      </c>
      <c r="J40">
        <v>7000</v>
      </c>
      <c r="K40" s="48">
        <v>25407.528868965503</v>
      </c>
    </row>
    <row r="41" spans="1:11" x14ac:dyDescent="0.3">
      <c r="A41">
        <v>59</v>
      </c>
      <c r="B41" t="s">
        <v>68</v>
      </c>
      <c r="C41">
        <v>105559</v>
      </c>
      <c r="D41">
        <v>46.957999999999998</v>
      </c>
      <c r="E41">
        <v>55.619</v>
      </c>
      <c r="F41">
        <v>8.6610000000000014</v>
      </c>
      <c r="G41">
        <v>2197.4</v>
      </c>
      <c r="H41">
        <v>19031.681400000005</v>
      </c>
      <c r="I41" s="48">
        <v>1522.7072689655229</v>
      </c>
      <c r="J41">
        <v>7000</v>
      </c>
      <c r="K41" s="48">
        <v>27554.388668965526</v>
      </c>
    </row>
    <row r="42" spans="1:11" x14ac:dyDescent="0.3">
      <c r="A42">
        <v>60</v>
      </c>
      <c r="B42" t="s">
        <v>69</v>
      </c>
      <c r="C42">
        <v>105513</v>
      </c>
      <c r="D42">
        <v>17.981999999999999</v>
      </c>
      <c r="E42">
        <v>20.774000000000001</v>
      </c>
      <c r="F42">
        <v>2.7920000000000016</v>
      </c>
      <c r="G42">
        <v>2197.4</v>
      </c>
      <c r="H42">
        <v>6135.1408000000038</v>
      </c>
      <c r="I42" s="48">
        <v>1522.7072689655229</v>
      </c>
      <c r="J42">
        <v>7000</v>
      </c>
      <c r="K42" s="48">
        <v>14657.848068965526</v>
      </c>
    </row>
    <row r="43" spans="1:11" x14ac:dyDescent="0.3">
      <c r="A43">
        <v>61</v>
      </c>
      <c r="B43" t="s">
        <v>70</v>
      </c>
      <c r="C43">
        <v>105514</v>
      </c>
      <c r="D43">
        <v>32.158000000000001</v>
      </c>
      <c r="E43">
        <v>44.957999999999998</v>
      </c>
      <c r="F43">
        <v>12.799999999999997</v>
      </c>
      <c r="G43">
        <v>2197.4</v>
      </c>
      <c r="H43">
        <v>28126.719999999994</v>
      </c>
      <c r="I43" s="48">
        <v>1522.7072689655229</v>
      </c>
      <c r="J43">
        <v>7000</v>
      </c>
      <c r="K43" s="48">
        <v>5901</v>
      </c>
    </row>
    <row r="44" spans="1:11" x14ac:dyDescent="0.3">
      <c r="A44">
        <v>62</v>
      </c>
      <c r="B44" t="s">
        <v>71</v>
      </c>
      <c r="C44">
        <v>105515</v>
      </c>
      <c r="D44">
        <v>25.045999999999999</v>
      </c>
      <c r="E44">
        <v>29.745999999999999</v>
      </c>
      <c r="F44">
        <v>4.6999999999999993</v>
      </c>
      <c r="G44">
        <v>2197.4</v>
      </c>
      <c r="H44">
        <v>10327.779999999999</v>
      </c>
      <c r="I44" s="48">
        <v>1522.7072689655229</v>
      </c>
      <c r="J44">
        <v>7000</v>
      </c>
      <c r="K44" s="48">
        <v>18850.487268965524</v>
      </c>
    </row>
    <row r="45" spans="1:11" x14ac:dyDescent="0.3">
      <c r="A45">
        <v>63</v>
      </c>
      <c r="B45" t="s">
        <v>51</v>
      </c>
      <c r="C45">
        <v>105569</v>
      </c>
      <c r="D45">
        <v>27.786999999999999</v>
      </c>
      <c r="E45">
        <v>34.317999999999998</v>
      </c>
      <c r="F45">
        <v>6.5309999999999988</v>
      </c>
      <c r="G45">
        <v>2197.4</v>
      </c>
      <c r="H45">
        <v>14351.219399999998</v>
      </c>
      <c r="I45" s="48">
        <v>1522.7072689655229</v>
      </c>
      <c r="J45">
        <v>0</v>
      </c>
      <c r="K45" s="48">
        <v>15873.926668965521</v>
      </c>
    </row>
    <row r="46" spans="1:11" x14ac:dyDescent="0.3">
      <c r="A46">
        <v>64</v>
      </c>
      <c r="B46" t="s">
        <v>72</v>
      </c>
      <c r="C46">
        <v>105537</v>
      </c>
      <c r="D46">
        <v>67.311000000000007</v>
      </c>
      <c r="E46">
        <v>75.873999999999995</v>
      </c>
      <c r="F46">
        <v>8.5629999999999882</v>
      </c>
      <c r="G46">
        <v>2197.4</v>
      </c>
      <c r="H46">
        <v>18816.336199999976</v>
      </c>
      <c r="I46" s="48">
        <v>1522.7072689655229</v>
      </c>
      <c r="J46">
        <v>7000</v>
      </c>
      <c r="K46" s="48">
        <v>27339.043468965498</v>
      </c>
    </row>
    <row r="47" spans="1:11" x14ac:dyDescent="0.3">
      <c r="A47">
        <v>65</v>
      </c>
      <c r="B47" t="s">
        <v>73</v>
      </c>
      <c r="C47">
        <v>105566</v>
      </c>
      <c r="D47">
        <v>50.811999999999998</v>
      </c>
      <c r="E47">
        <v>62.734999999999999</v>
      </c>
      <c r="F47">
        <v>11.923000000000002</v>
      </c>
      <c r="G47">
        <v>2197.4</v>
      </c>
      <c r="H47">
        <v>26199.600200000004</v>
      </c>
      <c r="I47" s="48">
        <v>1522.7072689655229</v>
      </c>
      <c r="J47">
        <v>7000</v>
      </c>
      <c r="K47" s="48">
        <v>34722.307468965526</v>
      </c>
    </row>
    <row r="48" spans="1:11" x14ac:dyDescent="0.3">
      <c r="A48">
        <v>66</v>
      </c>
      <c r="B48" t="s">
        <v>74</v>
      </c>
      <c r="C48">
        <v>105557</v>
      </c>
      <c r="D48">
        <v>61.145000000000003</v>
      </c>
      <c r="E48">
        <v>71.843999999999994</v>
      </c>
      <c r="F48">
        <v>10.698999999999991</v>
      </c>
      <c r="G48">
        <v>2197.4</v>
      </c>
      <c r="H48">
        <v>23509.982599999981</v>
      </c>
      <c r="I48" s="48">
        <v>1522.7072689655229</v>
      </c>
      <c r="J48">
        <v>7000</v>
      </c>
      <c r="K48" s="48">
        <v>32032.689868965503</v>
      </c>
    </row>
    <row r="49" spans="1:11" x14ac:dyDescent="0.3">
      <c r="A49">
        <v>67</v>
      </c>
      <c r="B49" t="s">
        <v>75</v>
      </c>
      <c r="C49">
        <v>105555</v>
      </c>
      <c r="D49">
        <v>46.55</v>
      </c>
      <c r="E49">
        <v>55.826999999999998</v>
      </c>
      <c r="F49">
        <v>9.277000000000001</v>
      </c>
      <c r="G49">
        <v>2197.4</v>
      </c>
      <c r="H49">
        <v>20385.279800000004</v>
      </c>
      <c r="I49" s="48">
        <v>1522.7072689655229</v>
      </c>
      <c r="J49">
        <v>7000</v>
      </c>
      <c r="K49" s="48">
        <v>28907.987068965525</v>
      </c>
    </row>
    <row r="50" spans="1:11" x14ac:dyDescent="0.3">
      <c r="A50">
        <v>68</v>
      </c>
      <c r="B50" t="s">
        <v>76</v>
      </c>
      <c r="C50">
        <v>105554</v>
      </c>
      <c r="D50">
        <v>110.646</v>
      </c>
      <c r="E50">
        <v>129.12299999999999</v>
      </c>
      <c r="F50">
        <v>18.47699999999999</v>
      </c>
      <c r="G50">
        <v>2197.4</v>
      </c>
      <c r="H50">
        <v>40601.359799999977</v>
      </c>
      <c r="I50" s="48">
        <v>1522.7072689655229</v>
      </c>
      <c r="J50">
        <v>7000</v>
      </c>
      <c r="K50" s="48">
        <v>49124.067068965502</v>
      </c>
    </row>
    <row r="51" spans="1:11" x14ac:dyDescent="0.3">
      <c r="A51">
        <v>69</v>
      </c>
      <c r="B51" t="s">
        <v>77</v>
      </c>
      <c r="C51">
        <v>106174</v>
      </c>
      <c r="D51">
        <v>67.381</v>
      </c>
      <c r="E51">
        <v>73.135999999999996</v>
      </c>
      <c r="F51">
        <v>5.7549999999999955</v>
      </c>
      <c r="G51">
        <v>2197.4</v>
      </c>
      <c r="H51">
        <v>12646.036999999991</v>
      </c>
      <c r="I51" s="48">
        <v>1522.7072689655229</v>
      </c>
      <c r="J51">
        <v>7000</v>
      </c>
      <c r="K51" s="48">
        <v>21168.744268965514</v>
      </c>
    </row>
    <row r="52" spans="1:11" x14ac:dyDescent="0.3">
      <c r="A52">
        <v>70</v>
      </c>
      <c r="B52" t="s">
        <v>88</v>
      </c>
      <c r="C52">
        <v>106178</v>
      </c>
      <c r="D52">
        <v>133.22300000000001</v>
      </c>
      <c r="E52">
        <v>138.696</v>
      </c>
      <c r="F52">
        <v>5.4729999999999848</v>
      </c>
      <c r="G52">
        <v>2197.4</v>
      </c>
      <c r="H52">
        <v>12026.370199999967</v>
      </c>
      <c r="I52" s="48">
        <v>1522.7072689655229</v>
      </c>
      <c r="J52">
        <v>7000</v>
      </c>
      <c r="K52" s="48">
        <v>20549.07746896549</v>
      </c>
    </row>
    <row r="53" spans="1:11" x14ac:dyDescent="0.3">
      <c r="A53">
        <v>71</v>
      </c>
      <c r="B53" t="s">
        <v>78</v>
      </c>
      <c r="C53">
        <v>105519</v>
      </c>
      <c r="D53">
        <v>42.332999999999998</v>
      </c>
      <c r="E53">
        <v>48.055999999999997</v>
      </c>
      <c r="F53">
        <v>5.722999999999999</v>
      </c>
      <c r="G53">
        <v>2197.4</v>
      </c>
      <c r="H53">
        <v>12575.720199999998</v>
      </c>
      <c r="I53" s="48">
        <v>1522.7072689655229</v>
      </c>
      <c r="J53">
        <v>7000</v>
      </c>
      <c r="K53" s="48">
        <v>21098.427468965521</v>
      </c>
    </row>
    <row r="54" spans="1:11" x14ac:dyDescent="0.3">
      <c r="A54">
        <v>72</v>
      </c>
      <c r="B54" t="s">
        <v>79</v>
      </c>
      <c r="C54">
        <v>106177</v>
      </c>
      <c r="D54">
        <v>41.298999999999999</v>
      </c>
      <c r="E54">
        <v>47.326000000000001</v>
      </c>
      <c r="F54">
        <v>6.027000000000001</v>
      </c>
      <c r="G54">
        <v>2197.4</v>
      </c>
      <c r="H54">
        <v>13243.729800000003</v>
      </c>
      <c r="I54" s="48">
        <v>1522.7072689655229</v>
      </c>
      <c r="J54">
        <v>0</v>
      </c>
      <c r="K54" s="48">
        <v>14766.437068965526</v>
      </c>
    </row>
    <row r="55" spans="1:11" x14ac:dyDescent="0.3">
      <c r="A55">
        <v>73</v>
      </c>
      <c r="B55" t="s">
        <v>32</v>
      </c>
      <c r="C55">
        <v>106221</v>
      </c>
      <c r="D55">
        <v>54.816000000000003</v>
      </c>
      <c r="E55">
        <v>62.326999999999998</v>
      </c>
      <c r="F55">
        <v>7.5109999999999957</v>
      </c>
      <c r="G55">
        <v>2197.4</v>
      </c>
      <c r="H55">
        <v>16504.671399999992</v>
      </c>
      <c r="I55" s="48">
        <v>809.26773000000105</v>
      </c>
      <c r="J55" s="48">
        <v>7000</v>
      </c>
      <c r="K55" s="48">
        <v>24313.939129999992</v>
      </c>
    </row>
    <row r="56" spans="1:11" x14ac:dyDescent="0.3">
      <c r="A56">
        <v>74</v>
      </c>
      <c r="B56" t="s">
        <v>82</v>
      </c>
      <c r="C56">
        <v>106229</v>
      </c>
      <c r="D56">
        <v>43.210999999999999</v>
      </c>
      <c r="E56">
        <v>48.554000000000002</v>
      </c>
      <c r="F56">
        <v>5.3430000000000035</v>
      </c>
      <c r="G56">
        <v>2197.4</v>
      </c>
      <c r="H56">
        <v>11740.708200000008</v>
      </c>
      <c r="I56" s="48">
        <v>809.26773000000105</v>
      </c>
      <c r="J56" s="48">
        <v>7000</v>
      </c>
      <c r="K56" s="48">
        <v>19549.975930000008</v>
      </c>
    </row>
    <row r="57" spans="1:11" x14ac:dyDescent="0.3">
      <c r="A57">
        <v>75</v>
      </c>
      <c r="B57" t="s">
        <v>97</v>
      </c>
      <c r="C57">
        <v>106135</v>
      </c>
      <c r="D57">
        <v>20.907</v>
      </c>
      <c r="E57">
        <v>31.036999999999999</v>
      </c>
      <c r="F57">
        <v>10.129999999999999</v>
      </c>
      <c r="G57">
        <v>2197.4</v>
      </c>
      <c r="H57">
        <v>22259.662</v>
      </c>
      <c r="I57" s="48">
        <v>809.26773000000105</v>
      </c>
      <c r="J57" s="48">
        <v>0</v>
      </c>
      <c r="K57" s="48">
        <v>23068.92973</v>
      </c>
    </row>
    <row r="58" spans="1:11" x14ac:dyDescent="0.3">
      <c r="A58">
        <v>76</v>
      </c>
      <c r="B58" t="s">
        <v>83</v>
      </c>
      <c r="C58">
        <v>106137</v>
      </c>
      <c r="D58">
        <v>12.813000000000001</v>
      </c>
      <c r="E58">
        <v>13.465999999999999</v>
      </c>
      <c r="F58">
        <v>0.65299999999999869</v>
      </c>
      <c r="G58">
        <v>2197.4</v>
      </c>
      <c r="H58">
        <v>1434.9021999999973</v>
      </c>
      <c r="I58" s="48">
        <v>809.26773000000105</v>
      </c>
      <c r="J58" s="48">
        <v>7000</v>
      </c>
      <c r="K58" s="48">
        <v>9244.1699299999982</v>
      </c>
    </row>
    <row r="59" spans="1:11" x14ac:dyDescent="0.3">
      <c r="A59">
        <v>77</v>
      </c>
      <c r="B59" t="s">
        <v>84</v>
      </c>
      <c r="C59">
        <v>106140</v>
      </c>
      <c r="D59">
        <v>67.191000000000003</v>
      </c>
      <c r="E59">
        <v>78.841999999999999</v>
      </c>
      <c r="F59">
        <v>11.650999999999996</v>
      </c>
      <c r="G59">
        <v>2197.4</v>
      </c>
      <c r="H59">
        <v>25601.907399999993</v>
      </c>
      <c r="I59" s="48">
        <v>809.26773000000105</v>
      </c>
      <c r="J59" s="48">
        <v>7000</v>
      </c>
      <c r="K59" s="48">
        <v>33411.175129999989</v>
      </c>
    </row>
    <row r="60" spans="1:11" x14ac:dyDescent="0.3">
      <c r="A60">
        <v>78</v>
      </c>
      <c r="B60" t="s">
        <v>85</v>
      </c>
      <c r="C60">
        <v>106228</v>
      </c>
      <c r="D60">
        <v>40.402000000000001</v>
      </c>
      <c r="E60">
        <v>44.695999999999998</v>
      </c>
      <c r="F60">
        <v>4.2939999999999969</v>
      </c>
      <c r="G60">
        <v>2197.4</v>
      </c>
      <c r="H60">
        <v>9435.6355999999942</v>
      </c>
      <c r="I60" s="48">
        <v>809.26773000000105</v>
      </c>
      <c r="J60" s="48">
        <v>7000</v>
      </c>
      <c r="K60" s="48">
        <v>17244.903329999994</v>
      </c>
    </row>
    <row r="61" spans="1:11" x14ac:dyDescent="0.3">
      <c r="A61">
        <v>79</v>
      </c>
      <c r="B61" t="s">
        <v>34</v>
      </c>
      <c r="C61">
        <v>106139</v>
      </c>
      <c r="D61">
        <v>52.49</v>
      </c>
      <c r="E61">
        <v>57.201000000000001</v>
      </c>
      <c r="F61">
        <v>4.7109999999999985</v>
      </c>
      <c r="G61">
        <v>2197.4</v>
      </c>
      <c r="H61">
        <v>10351.951399999996</v>
      </c>
      <c r="I61" s="48">
        <v>809.26773000000105</v>
      </c>
      <c r="J61" s="48">
        <v>7000</v>
      </c>
      <c r="K61" s="48">
        <v>18161.219129999998</v>
      </c>
    </row>
    <row r="62" spans="1:11" x14ac:dyDescent="0.3">
      <c r="A62">
        <v>80</v>
      </c>
      <c r="B62" t="s">
        <v>80</v>
      </c>
      <c r="C62">
        <v>106227</v>
      </c>
      <c r="D62">
        <v>57.107999999999997</v>
      </c>
      <c r="E62">
        <v>62.372</v>
      </c>
      <c r="F62">
        <v>5.2640000000000029</v>
      </c>
      <c r="G62">
        <v>2197.4</v>
      </c>
      <c r="H62">
        <v>11567.113600000006</v>
      </c>
      <c r="I62" s="48">
        <v>809.26773000000105</v>
      </c>
      <c r="J62" s="48">
        <v>7000</v>
      </c>
      <c r="K62" s="48">
        <v>19376.381330000007</v>
      </c>
    </row>
    <row r="63" spans="1:11" x14ac:dyDescent="0.3">
      <c r="A63">
        <v>81</v>
      </c>
      <c r="B63" t="s">
        <v>33</v>
      </c>
      <c r="C63">
        <v>106131</v>
      </c>
      <c r="D63">
        <v>103.336</v>
      </c>
      <c r="E63">
        <v>115.381</v>
      </c>
      <c r="F63">
        <v>12.045000000000002</v>
      </c>
      <c r="G63">
        <v>2197.4</v>
      </c>
      <c r="H63">
        <v>26467.683000000005</v>
      </c>
      <c r="I63" s="48">
        <v>809.26773000000105</v>
      </c>
      <c r="J63" s="48">
        <v>7000</v>
      </c>
      <c r="K63" s="48">
        <v>34276.950730000004</v>
      </c>
    </row>
    <row r="64" spans="1:11" x14ac:dyDescent="0.3">
      <c r="A64">
        <v>82</v>
      </c>
      <c r="B64" t="s">
        <v>81</v>
      </c>
      <c r="C64">
        <v>106138</v>
      </c>
      <c r="D64">
        <v>19.658999999999999</v>
      </c>
      <c r="E64">
        <v>21.507999999999999</v>
      </c>
      <c r="F64">
        <v>1.8490000000000002</v>
      </c>
      <c r="G64">
        <v>2197.4</v>
      </c>
      <c r="H64">
        <v>4062.9926000000005</v>
      </c>
      <c r="I64" s="48">
        <v>809.26773000000105</v>
      </c>
      <c r="J64" s="48">
        <v>7000</v>
      </c>
      <c r="K64" s="48">
        <v>11872.260330000001</v>
      </c>
    </row>
    <row r="65" spans="1:11" x14ac:dyDescent="0.3">
      <c r="A65">
        <v>83</v>
      </c>
      <c r="B65" t="s">
        <v>21</v>
      </c>
      <c r="C65">
        <v>106222</v>
      </c>
      <c r="D65">
        <v>30.143999999999998</v>
      </c>
      <c r="E65">
        <v>36.680999999999997</v>
      </c>
      <c r="F65">
        <v>6.536999999999999</v>
      </c>
      <c r="G65">
        <v>2197.4</v>
      </c>
      <c r="H65">
        <v>14364.403799999998</v>
      </c>
      <c r="I65" s="48">
        <v>809.26773000000105</v>
      </c>
      <c r="J65" s="48">
        <v>7000</v>
      </c>
      <c r="K65" s="48">
        <v>22173.67153</v>
      </c>
    </row>
    <row r="66" spans="1:11" x14ac:dyDescent="0.3">
      <c r="A66">
        <v>84</v>
      </c>
      <c r="B66" t="s">
        <v>27</v>
      </c>
      <c r="C66">
        <v>106123</v>
      </c>
      <c r="D66">
        <v>32.03</v>
      </c>
      <c r="E66">
        <v>35.042000000000002</v>
      </c>
      <c r="F66">
        <v>3.0120000000000005</v>
      </c>
      <c r="G66">
        <v>2197.4</v>
      </c>
      <c r="H66">
        <v>6618.5688000000009</v>
      </c>
      <c r="I66" s="48">
        <v>809.26773000000105</v>
      </c>
      <c r="J66" s="48">
        <v>7000</v>
      </c>
      <c r="K66" s="48">
        <v>14427.836530000002</v>
      </c>
    </row>
    <row r="67" spans="1:11" x14ac:dyDescent="0.3">
      <c r="A67">
        <v>85</v>
      </c>
      <c r="B67" t="s">
        <v>26</v>
      </c>
      <c r="C67">
        <v>106134</v>
      </c>
      <c r="D67">
        <v>121.673</v>
      </c>
      <c r="E67">
        <v>132.24799999999999</v>
      </c>
      <c r="F67">
        <v>10.574999999999989</v>
      </c>
      <c r="G67">
        <v>2197.4</v>
      </c>
      <c r="H67">
        <v>23237.504999999976</v>
      </c>
      <c r="I67" s="48">
        <v>809.26773000000105</v>
      </c>
      <c r="J67" s="48">
        <v>7000</v>
      </c>
      <c r="K67" s="48">
        <v>31046.772729999975</v>
      </c>
    </row>
    <row r="68" spans="1:11" x14ac:dyDescent="0.3">
      <c r="A68">
        <v>86</v>
      </c>
      <c r="B68" t="s">
        <v>25</v>
      </c>
      <c r="C68">
        <v>106125</v>
      </c>
      <c r="D68">
        <v>62.195999999999998</v>
      </c>
      <c r="E68">
        <v>69.438000000000002</v>
      </c>
      <c r="F68">
        <v>7.2420000000000044</v>
      </c>
      <c r="G68">
        <v>2197.4</v>
      </c>
      <c r="H68">
        <v>15913.57080000001</v>
      </c>
      <c r="I68" s="48">
        <v>809.26773000000105</v>
      </c>
      <c r="J68" s="48">
        <v>7000</v>
      </c>
      <c r="K68" s="48">
        <v>23722.838530000012</v>
      </c>
    </row>
    <row r="69" spans="1:11" x14ac:dyDescent="0.3">
      <c r="A69">
        <v>87</v>
      </c>
      <c r="B69" t="s">
        <v>24</v>
      </c>
      <c r="C69">
        <v>106133</v>
      </c>
      <c r="D69">
        <v>52.18</v>
      </c>
      <c r="E69">
        <v>58.076999999999998</v>
      </c>
      <c r="F69">
        <v>5.8969999999999985</v>
      </c>
      <c r="G69">
        <v>2197.4</v>
      </c>
      <c r="H69">
        <v>12958.067799999997</v>
      </c>
      <c r="I69" s="48">
        <v>809.26773000000105</v>
      </c>
      <c r="J69" s="48">
        <v>7000</v>
      </c>
      <c r="K69" s="48">
        <v>20767.335529999997</v>
      </c>
    </row>
    <row r="70" spans="1:11" x14ac:dyDescent="0.3">
      <c r="A70">
        <v>88</v>
      </c>
      <c r="B70" t="s">
        <v>37</v>
      </c>
      <c r="C70">
        <v>106127</v>
      </c>
      <c r="D70">
        <v>79.471000000000004</v>
      </c>
      <c r="E70">
        <v>86.744</v>
      </c>
      <c r="F70">
        <v>7.2729999999999961</v>
      </c>
      <c r="G70">
        <v>2197.4</v>
      </c>
      <c r="H70">
        <v>15981.690199999992</v>
      </c>
      <c r="I70" s="48">
        <v>809.26773000000105</v>
      </c>
      <c r="J70" s="48">
        <v>7000</v>
      </c>
      <c r="K70" s="48">
        <v>23790.957929999993</v>
      </c>
    </row>
    <row r="71" spans="1:11" x14ac:dyDescent="0.3">
      <c r="A71">
        <v>89</v>
      </c>
      <c r="B71" t="s">
        <v>23</v>
      </c>
      <c r="C71">
        <v>106128</v>
      </c>
      <c r="D71">
        <v>138.93100000000001</v>
      </c>
      <c r="E71">
        <v>160.363</v>
      </c>
      <c r="F71">
        <v>21.431999999999988</v>
      </c>
      <c r="G71">
        <v>2197.4</v>
      </c>
      <c r="H71">
        <v>47094.676799999972</v>
      </c>
      <c r="I71" s="48">
        <v>809.26773000000105</v>
      </c>
      <c r="J71" s="48">
        <v>7000</v>
      </c>
      <c r="K71" s="48">
        <v>54903.944529999972</v>
      </c>
    </row>
    <row r="72" spans="1:11" x14ac:dyDescent="0.3">
      <c r="A72">
        <v>90</v>
      </c>
      <c r="B72" t="s">
        <v>22</v>
      </c>
      <c r="C72">
        <v>106129</v>
      </c>
      <c r="D72">
        <v>25.202999999999999</v>
      </c>
      <c r="E72">
        <v>27.696000000000002</v>
      </c>
      <c r="F72">
        <v>2.4930000000000021</v>
      </c>
      <c r="G72">
        <v>2197.4</v>
      </c>
      <c r="H72">
        <v>5478.1182000000044</v>
      </c>
      <c r="I72" s="48">
        <v>809.26773000000105</v>
      </c>
      <c r="J72" s="48">
        <v>7000</v>
      </c>
      <c r="K72" s="48">
        <v>13287.385930000006</v>
      </c>
    </row>
    <row r="73" spans="1:11" x14ac:dyDescent="0.3">
      <c r="A73">
        <v>91</v>
      </c>
      <c r="B73" t="s">
        <v>43</v>
      </c>
      <c r="C73">
        <v>106130</v>
      </c>
      <c r="D73">
        <v>75.209000000000003</v>
      </c>
      <c r="E73">
        <v>82.325999999999993</v>
      </c>
      <c r="F73">
        <v>7.1169999999999902</v>
      </c>
      <c r="G73">
        <v>2197.4</v>
      </c>
      <c r="H73">
        <v>15638.895799999978</v>
      </c>
      <c r="I73" s="48">
        <v>809.26773000000105</v>
      </c>
      <c r="J73" s="48">
        <v>7000</v>
      </c>
      <c r="K73" s="48">
        <v>23448.16352999998</v>
      </c>
    </row>
    <row r="74" spans="1:11" x14ac:dyDescent="0.3">
      <c r="A74">
        <v>92</v>
      </c>
      <c r="B74" t="s">
        <v>28</v>
      </c>
      <c r="C74">
        <v>106121</v>
      </c>
      <c r="D74">
        <v>0.21099999999999999</v>
      </c>
      <c r="E74">
        <v>0.221</v>
      </c>
      <c r="F74">
        <v>1.0000000000000009E-2</v>
      </c>
      <c r="G74">
        <v>2197.4</v>
      </c>
      <c r="H74">
        <v>21.974000000000022</v>
      </c>
      <c r="I74" s="48">
        <v>0</v>
      </c>
      <c r="J74" s="48">
        <v>0</v>
      </c>
      <c r="K74" s="48">
        <v>21.974000000000022</v>
      </c>
    </row>
    <row r="75" spans="1:11" x14ac:dyDescent="0.3">
      <c r="A75">
        <v>92</v>
      </c>
      <c r="B75" t="s">
        <v>29</v>
      </c>
      <c r="C75">
        <v>105148</v>
      </c>
      <c r="D75">
        <v>24.117000000000001</v>
      </c>
      <c r="E75">
        <v>26.608000000000001</v>
      </c>
      <c r="F75">
        <v>2.4909999999999997</v>
      </c>
      <c r="G75">
        <v>2197.4</v>
      </c>
      <c r="H75">
        <v>5473.7233999999999</v>
      </c>
      <c r="I75" s="48">
        <v>0</v>
      </c>
      <c r="J75" s="48">
        <v>0</v>
      </c>
      <c r="K75" s="48">
        <v>5473.7233999999999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 ETAPA</vt:lpstr>
      <vt:lpstr>II ETAPA</vt:lpstr>
      <vt:lpstr>JULIO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Cristina Turpie</dc:creator>
  <cp:lastModifiedBy>Mohammed sabra</cp:lastModifiedBy>
  <cp:lastPrinted>2025-05-26T03:17:59Z</cp:lastPrinted>
  <dcterms:created xsi:type="dcterms:W3CDTF">2023-05-29T19:15:17Z</dcterms:created>
  <dcterms:modified xsi:type="dcterms:W3CDTF">2026-08-03T23:44:07Z</dcterms:modified>
</cp:coreProperties>
</file>